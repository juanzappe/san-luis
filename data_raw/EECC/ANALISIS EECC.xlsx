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z\OneDrive\Documentos\EECC\"/>
    </mc:Choice>
  </mc:AlternateContent>
  <xr:revisionPtr revIDLastSave="0" documentId="13_ncr:1_{B0D92EED-DA12-48F4-B4D3-DCCA53B35D1F}" xr6:coauthVersionLast="47" xr6:coauthVersionMax="47" xr10:uidLastSave="{00000000-0000-0000-0000-000000000000}"/>
  <bookViews>
    <workbookView xWindow="-108" yWindow="-108" windowWidth="23256" windowHeight="13896" firstSheet="1" activeTab="2" xr2:uid="{291B5FEA-1B70-43B3-A7BA-826CC81574F8}"/>
  </bookViews>
  <sheets>
    <sheet name="TODOS LOS ANIOS" sheetId="12" r:id="rId1"/>
    <sheet name="ESP $" sheetId="7" r:id="rId2"/>
    <sheet name="ER $" sheetId="8" r:id="rId3"/>
    <sheet name="INDICADORES" sheetId="9" r:id="rId4"/>
    <sheet name="DuPont" sheetId="11" r:id="rId5"/>
    <sheet name="EFE" sheetId="3" r:id="rId6"/>
    <sheet name="COSTOS" sheetId="4" r:id="rId7"/>
    <sheet name="BALANCE" sheetId="2" r:id="rId8"/>
    <sheet name="ESTADO DE RESULTADOS" sheetId="1" r:id="rId9"/>
    <sheet name="ratio" sheetId="5" r:id="rId10"/>
    <sheet name="GRAFICOS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9" l="1"/>
  <c r="F45" i="9"/>
  <c r="G45" i="9"/>
  <c r="E44" i="9"/>
  <c r="F44" i="9"/>
  <c r="G44" i="9"/>
  <c r="E43" i="9"/>
  <c r="F43" i="9"/>
  <c r="G43" i="9"/>
  <c r="F40" i="9"/>
  <c r="G40" i="9"/>
  <c r="E40" i="9"/>
  <c r="D41" i="9"/>
  <c r="E41" i="9"/>
  <c r="F41" i="9"/>
  <c r="G41" i="9"/>
  <c r="E42" i="9" l="1"/>
  <c r="G42" i="9"/>
  <c r="K4" i="12"/>
  <c r="L4" i="12"/>
  <c r="M4" i="12"/>
  <c r="J4" i="12"/>
  <c r="J2" i="12"/>
  <c r="K2" i="12"/>
  <c r="L2" i="12"/>
  <c r="M2" i="12"/>
  <c r="K3" i="12"/>
  <c r="L3" i="12"/>
  <c r="M3" i="12"/>
  <c r="J3" i="12"/>
  <c r="U14" i="11"/>
  <c r="V14" i="11"/>
  <c r="W14" i="11"/>
  <c r="T14" i="11"/>
  <c r="U9" i="11"/>
  <c r="V9" i="11"/>
  <c r="W9" i="11"/>
  <c r="T9" i="11"/>
  <c r="E81" i="9"/>
  <c r="F81" i="9"/>
  <c r="G81" i="9"/>
  <c r="D81" i="9"/>
  <c r="E80" i="9"/>
  <c r="F80" i="9"/>
  <c r="D80" i="9"/>
  <c r="E71" i="9"/>
  <c r="F71" i="9"/>
  <c r="G71" i="9"/>
  <c r="D71" i="9"/>
  <c r="E70" i="9"/>
  <c r="F70" i="9"/>
  <c r="D70" i="9"/>
  <c r="E53" i="9"/>
  <c r="F53" i="9"/>
  <c r="G53" i="9"/>
  <c r="D53" i="9"/>
  <c r="E52" i="9"/>
  <c r="F52" i="9"/>
  <c r="G52" i="9"/>
  <c r="D52" i="9"/>
  <c r="E23" i="9"/>
  <c r="F23" i="9"/>
  <c r="G23" i="9"/>
  <c r="D23" i="9"/>
  <c r="E22" i="9"/>
  <c r="F22" i="9"/>
  <c r="G22" i="9"/>
  <c r="D22" i="9"/>
  <c r="E21" i="9"/>
  <c r="F21" i="9"/>
  <c r="G21" i="9"/>
  <c r="D21" i="9"/>
  <c r="E20" i="9"/>
  <c r="F20" i="9"/>
  <c r="G20" i="9"/>
  <c r="D20" i="9"/>
  <c r="E19" i="9"/>
  <c r="F19" i="9"/>
  <c r="G19" i="9"/>
  <c r="D19" i="9"/>
  <c r="E18" i="9"/>
  <c r="F18" i="9"/>
  <c r="D18" i="9"/>
  <c r="E17" i="9"/>
  <c r="F17" i="9"/>
  <c r="G17" i="9"/>
  <c r="D17" i="9"/>
  <c r="E16" i="9"/>
  <c r="F16" i="9"/>
  <c r="D16" i="9"/>
  <c r="E14" i="9"/>
  <c r="F14" i="9"/>
  <c r="G14" i="9"/>
  <c r="E13" i="9"/>
  <c r="F13" i="9"/>
  <c r="G13" i="9"/>
  <c r="D13" i="9"/>
  <c r="E12" i="9"/>
  <c r="F12" i="9"/>
  <c r="G12" i="9"/>
  <c r="D12" i="9"/>
  <c r="D77" i="9" s="1"/>
  <c r="D78" i="9" s="1"/>
  <c r="E10" i="9"/>
  <c r="F10" i="9"/>
  <c r="G10" i="9"/>
  <c r="D10" i="9"/>
  <c r="E9" i="9"/>
  <c r="F9" i="9"/>
  <c r="G9" i="9"/>
  <c r="D9" i="9"/>
  <c r="F8" i="9"/>
  <c r="G8" i="9"/>
  <c r="E8" i="9"/>
  <c r="D8" i="9"/>
  <c r="G7" i="9"/>
  <c r="G50" i="9" s="1"/>
  <c r="D7" i="9"/>
  <c r="D50" i="9" s="1"/>
  <c r="E7" i="9"/>
  <c r="E50" i="9" s="1"/>
  <c r="F7" i="9"/>
  <c r="F50" i="9" s="1"/>
  <c r="I5" i="4"/>
  <c r="I6" i="4"/>
  <c r="F42" i="9" l="1"/>
  <c r="G79" i="9"/>
  <c r="F79" i="9"/>
  <c r="E79" i="9"/>
  <c r="G86" i="9"/>
  <c r="G87" i="9"/>
  <c r="F77" i="9"/>
  <c r="F78" i="9" s="1"/>
  <c r="D79" i="9"/>
  <c r="G77" i="9"/>
  <c r="G78" i="9" s="1"/>
  <c r="E77" i="9"/>
  <c r="E78" i="9" s="1"/>
  <c r="D51" i="9"/>
  <c r="D54" i="9" s="1"/>
  <c r="G51" i="9"/>
  <c r="G55" i="9" s="1"/>
  <c r="E51" i="9"/>
  <c r="E55" i="9" s="1"/>
  <c r="G11" i="9"/>
  <c r="F51" i="9"/>
  <c r="F54" i="9" s="1"/>
  <c r="D49" i="9"/>
  <c r="F11" i="9"/>
  <c r="F35" i="9" s="1"/>
  <c r="G49" i="9"/>
  <c r="F49" i="9"/>
  <c r="E49" i="9"/>
  <c r="F62" i="9"/>
  <c r="E61" i="9"/>
  <c r="E11" i="9"/>
  <c r="D11" i="9"/>
  <c r="F63" i="9"/>
  <c r="E63" i="9"/>
  <c r="F64" i="9"/>
  <c r="J24" i="11" s="1"/>
  <c r="E65" i="9"/>
  <c r="F65" i="9"/>
  <c r="F48" i="9"/>
  <c r="P19" i="11" s="1"/>
  <c r="D63" i="9"/>
  <c r="D34" i="9"/>
  <c r="E37" i="9"/>
  <c r="G34" i="9"/>
  <c r="E34" i="9"/>
  <c r="D36" i="9"/>
  <c r="T4" i="11" s="1"/>
  <c r="N9" i="11" s="1"/>
  <c r="F69" i="9"/>
  <c r="D37" i="9"/>
  <c r="F34" i="9"/>
  <c r="G65" i="9"/>
  <c r="G63" i="9"/>
  <c r="D65" i="9"/>
  <c r="E64" i="9"/>
  <c r="I24" i="11" s="1"/>
  <c r="E60" i="9"/>
  <c r="E28" i="9"/>
  <c r="F60" i="9"/>
  <c r="G37" i="9"/>
  <c r="D61" i="9"/>
  <c r="E29" i="9"/>
  <c r="G30" i="9"/>
  <c r="G62" i="9"/>
  <c r="D30" i="9"/>
  <c r="D62" i="9"/>
  <c r="D69" i="9"/>
  <c r="E30" i="9"/>
  <c r="E48" i="9"/>
  <c r="O19" i="11" s="1"/>
  <c r="E59" i="9"/>
  <c r="E62" i="9"/>
  <c r="E69" i="9"/>
  <c r="E36" i="9"/>
  <c r="U4" i="11" s="1"/>
  <c r="O9" i="11" s="1"/>
  <c r="F36" i="9"/>
  <c r="V4" i="11" s="1"/>
  <c r="P9" i="11" s="1"/>
  <c r="F29" i="9"/>
  <c r="F37" i="9"/>
  <c r="D48" i="9"/>
  <c r="N19" i="11" s="1"/>
  <c r="F30" i="9"/>
  <c r="G36" i="9"/>
  <c r="W4" i="11" s="1"/>
  <c r="Q9" i="11" s="1"/>
  <c r="H14" i="11" l="1"/>
  <c r="I14" i="11"/>
  <c r="C19" i="11" s="1"/>
  <c r="J14" i="11"/>
  <c r="D19" i="11" s="1"/>
  <c r="F55" i="9"/>
  <c r="G54" i="9"/>
  <c r="E54" i="9"/>
  <c r="D55" i="9"/>
  <c r="D35" i="9"/>
  <c r="F28" i="9"/>
  <c r="F59" i="9"/>
  <c r="F61" i="9"/>
  <c r="E35" i="9"/>
  <c r="G61" i="9"/>
  <c r="E27" i="9"/>
  <c r="D29" i="9"/>
  <c r="F27" i="9"/>
  <c r="G35" i="9"/>
  <c r="D60" i="9"/>
  <c r="D28" i="9"/>
  <c r="D64" i="9"/>
  <c r="H24" i="11" s="1"/>
  <c r="D59" i="9"/>
  <c r="D27" i="9"/>
  <c r="B19" i="11" l="1"/>
  <c r="C20" i="8"/>
  <c r="C13" i="8"/>
  <c r="D13" i="8"/>
  <c r="D20" i="8"/>
  <c r="F16" i="8"/>
  <c r="E16" i="8"/>
  <c r="E9" i="8"/>
  <c r="E13" i="8" s="1"/>
  <c r="E20" i="8"/>
  <c r="F9" i="8"/>
  <c r="F13" i="8" s="1"/>
  <c r="C17" i="7"/>
  <c r="D17" i="7"/>
  <c r="O46" i="7"/>
  <c r="O45" i="7"/>
  <c r="O44" i="7"/>
  <c r="O43" i="7"/>
  <c r="O42" i="7"/>
  <c r="N46" i="7"/>
  <c r="N45" i="7"/>
  <c r="N44" i="7"/>
  <c r="N43" i="7"/>
  <c r="F18" i="8" l="1"/>
  <c r="F20" i="8"/>
  <c r="F24" i="8" s="1"/>
  <c r="F26" i="8" s="1"/>
  <c r="C24" i="8"/>
  <c r="C26" i="8" s="1"/>
  <c r="E24" i="8"/>
  <c r="E26" i="8" s="1"/>
  <c r="D24" i="8"/>
  <c r="D26" i="8" s="1"/>
  <c r="C43" i="7" l="1"/>
  <c r="C13" i="7"/>
  <c r="C19" i="7" s="1"/>
  <c r="D13" i="7"/>
  <c r="E13" i="7"/>
  <c r="C28" i="7"/>
  <c r="D28" i="7"/>
  <c r="E28" i="7"/>
  <c r="C32" i="7"/>
  <c r="D32" i="7"/>
  <c r="E32" i="7"/>
  <c r="C38" i="7"/>
  <c r="D38" i="7"/>
  <c r="D43" i="7" s="1"/>
  <c r="E38" i="7"/>
  <c r="E43" i="7" s="1"/>
  <c r="F38" i="7"/>
  <c r="F43" i="7" s="1"/>
  <c r="F32" i="7"/>
  <c r="F28" i="7"/>
  <c r="F17" i="7"/>
  <c r="F13" i="7"/>
  <c r="E17" i="7"/>
  <c r="G70" i="9" l="1"/>
  <c r="G16" i="9"/>
  <c r="G69" i="9" s="1"/>
  <c r="F34" i="7"/>
  <c r="E34" i="7"/>
  <c r="P45" i="7" s="1"/>
  <c r="F19" i="7"/>
  <c r="C34" i="7"/>
  <c r="D34" i="7"/>
  <c r="D19" i="7"/>
  <c r="E39" i="7"/>
  <c r="E19" i="7"/>
  <c r="G18" i="9" l="1"/>
  <c r="G80" i="9"/>
  <c r="F39" i="7"/>
  <c r="P46" i="7"/>
  <c r="D39" i="7"/>
  <c r="P44" i="7"/>
  <c r="C39" i="7"/>
  <c r="P43" i="7"/>
  <c r="G4" i="2"/>
  <c r="G5" i="2"/>
  <c r="G6" i="2"/>
  <c r="G8" i="2"/>
  <c r="G10" i="2"/>
  <c r="G11" i="2"/>
  <c r="G12" i="2"/>
  <c r="G16" i="2"/>
  <c r="G17" i="2"/>
  <c r="G18" i="2"/>
  <c r="G19" i="2"/>
  <c r="G20" i="2"/>
  <c r="G22" i="2"/>
  <c r="G23" i="2"/>
  <c r="G25" i="2"/>
  <c r="G27" i="2"/>
  <c r="G28" i="2"/>
  <c r="G30" i="2"/>
  <c r="G3" i="2"/>
  <c r="E5" i="2"/>
  <c r="E6" i="2"/>
  <c r="E7" i="2"/>
  <c r="E8" i="2"/>
  <c r="E10" i="2"/>
  <c r="E11" i="2"/>
  <c r="E12" i="2"/>
  <c r="E16" i="2"/>
  <c r="E17" i="2"/>
  <c r="E18" i="2"/>
  <c r="E20" i="2"/>
  <c r="E22" i="2"/>
  <c r="E23" i="2"/>
  <c r="E25" i="2"/>
  <c r="E27" i="2"/>
  <c r="E28" i="2"/>
  <c r="E30" i="2"/>
  <c r="E4" i="2"/>
  <c r="C4" i="2"/>
  <c r="C5" i="2"/>
  <c r="C6" i="2"/>
  <c r="C7" i="2"/>
  <c r="C8" i="2"/>
  <c r="C10" i="2"/>
  <c r="C11" i="2"/>
  <c r="C12" i="2"/>
  <c r="C16" i="2"/>
  <c r="C17" i="2"/>
  <c r="C18" i="2"/>
  <c r="C20" i="2"/>
  <c r="C25" i="2"/>
  <c r="C27" i="2"/>
  <c r="C28" i="2"/>
  <c r="C30" i="2"/>
  <c r="C3" i="2"/>
  <c r="D18" i="5"/>
  <c r="C18" i="5"/>
  <c r="E22" i="5"/>
  <c r="E10" i="5"/>
  <c r="E14" i="5"/>
  <c r="J5" i="5"/>
  <c r="J10" i="5"/>
  <c r="E5" i="5"/>
  <c r="J22" i="5"/>
  <c r="J18" i="5"/>
  <c r="J14" i="5"/>
  <c r="T9" i="5"/>
  <c r="T5" i="5"/>
  <c r="O14" i="5"/>
  <c r="O9" i="5"/>
  <c r="O5" i="5"/>
  <c r="C26" i="1"/>
  <c r="C25" i="1"/>
  <c r="C23" i="1"/>
  <c r="B22" i="1"/>
  <c r="C22" i="1"/>
  <c r="C24" i="1"/>
  <c r="C27" i="1"/>
  <c r="C28" i="1"/>
  <c r="C29" i="1"/>
  <c r="C30" i="1"/>
  <c r="C21" i="1"/>
  <c r="L7" i="1"/>
  <c r="L8" i="1"/>
  <c r="L9" i="1"/>
  <c r="L10" i="1"/>
  <c r="L11" i="1"/>
  <c r="L12" i="1"/>
  <c r="L13" i="1"/>
  <c r="L14" i="1"/>
  <c r="L15" i="1"/>
  <c r="L6" i="1"/>
  <c r="K8" i="1"/>
  <c r="K9" i="1"/>
  <c r="K10" i="1"/>
  <c r="K11" i="1"/>
  <c r="K12" i="1"/>
  <c r="K13" i="1"/>
  <c r="K14" i="1"/>
  <c r="K15" i="1"/>
  <c r="K7" i="1"/>
  <c r="K6" i="1"/>
  <c r="D22" i="5"/>
  <c r="D14" i="5"/>
  <c r="I5" i="5"/>
  <c r="D10" i="5"/>
  <c r="D5" i="5"/>
  <c r="I10" i="5"/>
  <c r="H10" i="5"/>
  <c r="I22" i="5"/>
  <c r="I18" i="5"/>
  <c r="S9" i="5"/>
  <c r="S5" i="5"/>
  <c r="N14" i="5"/>
  <c r="N9" i="5"/>
  <c r="N5" i="5"/>
  <c r="M5" i="5"/>
  <c r="L5" i="5"/>
  <c r="M4" i="4"/>
  <c r="K5" i="4"/>
  <c r="M6" i="4"/>
  <c r="K6" i="4"/>
  <c r="O6" i="4"/>
  <c r="M5" i="4"/>
  <c r="O5" i="4"/>
  <c r="M3" i="4"/>
  <c r="O3" i="4"/>
  <c r="O4" i="4"/>
  <c r="K4" i="4"/>
  <c r="K3" i="4"/>
  <c r="I4" i="4"/>
  <c r="I3" i="4"/>
  <c r="I11" i="1"/>
  <c r="I8" i="1"/>
  <c r="I7" i="1"/>
  <c r="H13" i="1"/>
  <c r="H10" i="1"/>
  <c r="B24" i="1"/>
  <c r="B26" i="1"/>
  <c r="B27" i="1"/>
  <c r="B28" i="1"/>
  <c r="B29" i="1"/>
  <c r="B30" i="1"/>
  <c r="I12" i="1"/>
  <c r="I13" i="1"/>
  <c r="I14" i="1"/>
  <c r="I15" i="1"/>
  <c r="H8" i="1"/>
  <c r="H9" i="1"/>
  <c r="B18" i="5"/>
  <c r="B22" i="5"/>
  <c r="C22" i="5"/>
  <c r="H22" i="5"/>
  <c r="G22" i="5"/>
  <c r="H18" i="5"/>
  <c r="G18" i="5"/>
  <c r="R5" i="5"/>
  <c r="Q5" i="5"/>
  <c r="R9" i="5"/>
  <c r="Q9" i="5"/>
  <c r="M9" i="5"/>
  <c r="L9" i="5"/>
  <c r="F7" i="1"/>
  <c r="F8" i="1"/>
  <c r="F9" i="1"/>
  <c r="F10" i="1"/>
  <c r="F11" i="1"/>
  <c r="F12" i="1"/>
  <c r="F13" i="1"/>
  <c r="F14" i="1"/>
  <c r="F15" i="1"/>
  <c r="F6" i="1"/>
  <c r="G10" i="5"/>
  <c r="C10" i="5"/>
  <c r="B10" i="5"/>
  <c r="C14" i="5"/>
  <c r="B14" i="5"/>
  <c r="G5" i="5"/>
  <c r="H5" i="5"/>
  <c r="B5" i="5"/>
  <c r="C5" i="5"/>
  <c r="E9" i="1"/>
  <c r="E10" i="1"/>
  <c r="E11" i="1"/>
  <c r="E12" i="1"/>
  <c r="E13" i="1"/>
  <c r="E14" i="1"/>
  <c r="E15" i="1"/>
  <c r="H14" i="5" s="1"/>
  <c r="E7" i="1"/>
  <c r="E8" i="1"/>
  <c r="E6" i="1"/>
  <c r="C15" i="1"/>
  <c r="G14" i="5" s="1"/>
  <c r="C14" i="1"/>
  <c r="C13" i="1"/>
  <c r="C12" i="1"/>
  <c r="C11" i="1"/>
  <c r="C10" i="1"/>
  <c r="C9" i="1"/>
  <c r="C8" i="1"/>
  <c r="C7" i="1"/>
  <c r="C6" i="1"/>
  <c r="D11" i="2"/>
  <c r="M14" i="5" s="1"/>
  <c r="B11" i="2"/>
  <c r="L14" i="5" s="1"/>
  <c r="G29" i="9" l="1"/>
  <c r="G64" i="9"/>
  <c r="K24" i="11" s="1"/>
  <c r="G48" i="9"/>
  <c r="Q19" i="11" s="1"/>
  <c r="K14" i="11" s="1"/>
  <c r="G27" i="9"/>
  <c r="G59" i="9"/>
  <c r="G60" i="9"/>
  <c r="G28" i="9"/>
  <c r="N6" i="4"/>
  <c r="L5" i="4"/>
  <c r="N3" i="4"/>
  <c r="N5" i="4"/>
  <c r="L3" i="4"/>
  <c r="L4" i="4"/>
  <c r="N4" i="4"/>
  <c r="L6" i="4"/>
  <c r="J3" i="4"/>
  <c r="J4" i="4"/>
  <c r="J5" i="4"/>
  <c r="J6" i="4"/>
  <c r="H11" i="1"/>
  <c r="I6" i="1"/>
  <c r="H12" i="1"/>
  <c r="B21" i="1"/>
  <c r="H6" i="1"/>
  <c r="H15" i="1"/>
  <c r="I14" i="5" s="1"/>
  <c r="B25" i="1"/>
  <c r="H14" i="1"/>
  <c r="I10" i="1"/>
  <c r="B23" i="1"/>
  <c r="I9" i="1"/>
  <c r="H7" i="1"/>
  <c r="E19" i="11" l="1"/>
</calcChain>
</file>

<file path=xl/sharedStrings.xml><?xml version="1.0" encoding="utf-8"?>
<sst xmlns="http://schemas.openxmlformats.org/spreadsheetml/2006/main" count="377" uniqueCount="276">
  <si>
    <t>Caja y Bancos (Nota 1)</t>
  </si>
  <si>
    <t xml:space="preserve"> Cuentas por Cobrar (Nota 2)</t>
  </si>
  <si>
    <t xml:space="preserve"> Otros Créditos (Nota 3)</t>
  </si>
  <si>
    <t xml:space="preserve"> Inversiones (Nota 5)</t>
  </si>
  <si>
    <t xml:space="preserve"> Bienes de Cambio (Nota 4)</t>
  </si>
  <si>
    <t>Total Activo no Corriente</t>
  </si>
  <si>
    <t>ESTADO DE RESULTADOS</t>
  </si>
  <si>
    <t>31/12/2024</t>
  </si>
  <si>
    <t>31/12/2023</t>
  </si>
  <si>
    <t>Ingresos por ventas y servicios</t>
  </si>
  <si>
    <t>Costos operativos (Anexo II)</t>
  </si>
  <si>
    <t>Resultado Operativo</t>
  </si>
  <si>
    <t>Gastos de administraición (Anexo III)</t>
  </si>
  <si>
    <t>Gastos de comercialización (Anexo III)</t>
  </si>
  <si>
    <t>Gastos Financ. Y Otros, incluido el Recpam (Anexo III)</t>
  </si>
  <si>
    <t>Otros Ingresos</t>
  </si>
  <si>
    <t>Resultado Neto</t>
  </si>
  <si>
    <t>Impuestos a las ganancias</t>
  </si>
  <si>
    <t>Resultado del Ejercicio</t>
  </si>
  <si>
    <t>Efectivo al Inicio</t>
  </si>
  <si>
    <t xml:space="preserve">Varaciones del Efectivo </t>
  </si>
  <si>
    <t xml:space="preserve"> Efectivo al cierre</t>
  </si>
  <si>
    <t xml:space="preserve"> Cobranzas</t>
  </si>
  <si>
    <t xml:space="preserve">Pago a Proveedores </t>
  </si>
  <si>
    <t xml:space="preserve"> Pago de Sueldos y Cargas Sociales</t>
  </si>
  <si>
    <t>Pago de Impuestos y otros gastos</t>
  </si>
  <si>
    <t>Movimientos Bancarios</t>
  </si>
  <si>
    <t>Recpam del Efectivo</t>
  </si>
  <si>
    <t xml:space="preserve">2. Actividades de Inversión </t>
  </si>
  <si>
    <t>Compra Venta de ME/Dif. De cambio</t>
  </si>
  <si>
    <t xml:space="preserve"> Constitución/Rescate PF y FCI</t>
  </si>
  <si>
    <t xml:space="preserve"> Compra/Venta de Bienes de Uso</t>
  </si>
  <si>
    <t>Retiros Mutuos Accionistas/Pago honorarios</t>
  </si>
  <si>
    <t>Cobro/ Pago de Préstamos</t>
  </si>
  <si>
    <t>RENTABILIDAD DEL ACTIVO</t>
  </si>
  <si>
    <t>RENTABILIAD DEL PATRIMONIO NETO</t>
  </si>
  <si>
    <t>EBIT</t>
  </si>
  <si>
    <t>EBITDA</t>
  </si>
  <si>
    <t>RETORNO SOBRE CAPITAL INVERTIDO</t>
  </si>
  <si>
    <t>2024 VS 2023</t>
  </si>
  <si>
    <t>LIQUIDEZ CORRIENTE</t>
  </si>
  <si>
    <t>LIQUIDEZ ACIDA</t>
  </si>
  <si>
    <t>ENDEUDAMIENTO</t>
  </si>
  <si>
    <t>SOLVENCIA</t>
  </si>
  <si>
    <t>INMOVILIZACION</t>
  </si>
  <si>
    <t>RENTABILIDAD NETA</t>
  </si>
  <si>
    <t>COSTO DEL FINANCIAMIENTO</t>
  </si>
  <si>
    <t>APALANCAMIENTO TERCEROS</t>
  </si>
  <si>
    <t xml:space="preserve">APALANCAMIENTO </t>
  </si>
  <si>
    <t>APALANCAMIENTO OPERATIVO</t>
  </si>
  <si>
    <t>2022 VS 2023</t>
  </si>
  <si>
    <t>31/12/2022</t>
  </si>
  <si>
    <r>
      <rPr>
        <sz val="11"/>
        <rFont val="Calibri"/>
        <family val="2"/>
      </rPr>
      <t>RUBRO</t>
    </r>
  </si>
  <si>
    <r>
      <rPr>
        <sz val="11"/>
        <rFont val="Calibri"/>
        <family val="2"/>
      </rPr>
      <t>COSTO OPERAT.</t>
    </r>
  </si>
  <si>
    <r>
      <rPr>
        <sz val="11"/>
        <rFont val="Calibri"/>
        <family val="2"/>
      </rPr>
      <t>GASTOS COMERC.</t>
    </r>
  </si>
  <si>
    <r>
      <rPr>
        <sz val="11"/>
        <rFont val="Calibri"/>
        <family val="2"/>
      </rPr>
      <t>GASTOS ADMINIST.</t>
    </r>
  </si>
  <si>
    <r>
      <rPr>
        <u/>
        <sz val="11"/>
        <rFont val="Calibri"/>
        <family val="2"/>
      </rPr>
      <t>GASTOS FINANC. Y OTROS</t>
    </r>
  </si>
  <si>
    <r>
      <rPr>
        <sz val="11"/>
        <rFont val="Calibri"/>
        <family val="2"/>
      </rPr>
      <t>Insumos</t>
    </r>
  </si>
  <si>
    <r>
      <rPr>
        <sz val="11"/>
        <rFont val="Calibri"/>
        <family val="2"/>
      </rPr>
      <t>Combustible</t>
    </r>
  </si>
  <si>
    <r>
      <rPr>
        <sz val="11"/>
        <rFont val="Calibri"/>
        <family val="2"/>
      </rPr>
      <t>Gastos Varios</t>
    </r>
  </si>
  <si>
    <r>
      <rPr>
        <sz val="11"/>
        <rFont val="Calibri"/>
        <family val="2"/>
      </rPr>
      <t>Repuestos y Reparaciones</t>
    </r>
  </si>
  <si>
    <r>
      <rPr>
        <sz val="11"/>
        <rFont val="Calibri"/>
        <family val="2"/>
      </rPr>
      <t>Mantenimiento</t>
    </r>
  </si>
  <si>
    <r>
      <rPr>
        <sz val="11"/>
        <rFont val="Calibri"/>
        <family val="2"/>
      </rPr>
      <t>Trabajos de Terceros</t>
    </r>
  </si>
  <si>
    <r>
      <rPr>
        <sz val="11"/>
        <rFont val="Calibri"/>
        <family val="2"/>
      </rPr>
      <t>Alquileres</t>
    </r>
  </si>
  <si>
    <r>
      <rPr>
        <sz val="11"/>
        <rFont val="Calibri"/>
        <family val="2"/>
      </rPr>
      <t>Sueldos y Jornales</t>
    </r>
  </si>
  <si>
    <r>
      <rPr>
        <sz val="11"/>
        <rFont val="Calibri"/>
        <family val="2"/>
      </rPr>
      <t>Cargas Sociales</t>
    </r>
  </si>
  <si>
    <r>
      <rPr>
        <sz val="11"/>
        <rFont val="Calibri"/>
        <family val="2"/>
      </rPr>
      <t>Amortizaciones</t>
    </r>
  </si>
  <si>
    <r>
      <rPr>
        <sz val="11"/>
        <rFont val="Calibri"/>
        <family val="2"/>
      </rPr>
      <t>Servicio de Fletes</t>
    </r>
  </si>
  <si>
    <r>
      <rPr>
        <sz val="11"/>
        <rFont val="Calibri"/>
        <family val="2"/>
      </rPr>
      <t>Seguros</t>
    </r>
  </si>
  <si>
    <r>
      <rPr>
        <sz val="11"/>
        <rFont val="Calibri"/>
        <family val="2"/>
      </rPr>
      <t>Comisiones</t>
    </r>
  </si>
  <si>
    <r>
      <rPr>
        <sz val="11"/>
        <rFont val="Calibri"/>
        <family val="2"/>
      </rPr>
      <t>Gastos de Oficina</t>
    </r>
  </si>
  <si>
    <r>
      <rPr>
        <sz val="11"/>
        <rFont val="Calibri"/>
        <family val="2"/>
      </rPr>
      <t>Honorarios</t>
    </r>
  </si>
  <si>
    <r>
      <rPr>
        <sz val="11"/>
        <rFont val="Calibri"/>
        <family val="2"/>
      </rPr>
      <t>Impuestos y tasas</t>
    </r>
  </si>
  <si>
    <r>
      <rPr>
        <sz val="11"/>
        <rFont val="Calibri"/>
        <family val="2"/>
      </rPr>
      <t>Servicios Públicos</t>
    </r>
  </si>
  <si>
    <r>
      <rPr>
        <sz val="11"/>
        <rFont val="Calibri"/>
        <family val="2"/>
      </rPr>
      <t>Impuesto a los Ing. Brutos</t>
    </r>
  </si>
  <si>
    <r>
      <rPr>
        <sz val="11"/>
        <rFont val="Calibri"/>
        <family val="2"/>
      </rPr>
      <t>Tasa Seg. E Higiene</t>
    </r>
  </si>
  <si>
    <r>
      <rPr>
        <sz val="11"/>
        <rFont val="Calibri"/>
        <family val="2"/>
      </rPr>
      <t>Publicidad y Propaganda</t>
    </r>
  </si>
  <si>
    <r>
      <rPr>
        <sz val="11"/>
        <rFont val="Calibri"/>
        <family val="2"/>
      </rPr>
      <t>Derecho de Uso Público</t>
    </r>
  </si>
  <si>
    <r>
      <rPr>
        <sz val="11"/>
        <rFont val="Calibri"/>
        <family val="2"/>
      </rPr>
      <t>Intereses y Gastos bancarios</t>
    </r>
  </si>
  <si>
    <r>
      <rPr>
        <sz val="11"/>
        <rFont val="Calibri"/>
        <family val="2"/>
      </rPr>
      <t>Intereses Resarcitorios</t>
    </r>
  </si>
  <si>
    <r>
      <rPr>
        <sz val="11"/>
        <rFont val="Calibri"/>
        <family val="2"/>
      </rPr>
      <t>Costo Vta. Bien de Uso</t>
    </r>
  </si>
  <si>
    <r>
      <rPr>
        <sz val="11"/>
        <rFont val="Calibri"/>
        <family val="2"/>
      </rPr>
      <t>Intereses Financieros</t>
    </r>
  </si>
  <si>
    <r>
      <rPr>
        <sz val="11"/>
        <rFont val="Calibri"/>
        <family val="2"/>
      </rPr>
      <t>Multas</t>
    </r>
  </si>
  <si>
    <r>
      <rPr>
        <sz val="11"/>
        <rFont val="Calibri"/>
        <family val="2"/>
      </rPr>
      <t>Recpam</t>
    </r>
  </si>
  <si>
    <r>
      <rPr>
        <sz val="11"/>
        <rFont val="Calibri"/>
        <family val="2"/>
      </rPr>
      <t>TOTALES:</t>
    </r>
  </si>
  <si>
    <r>
      <rPr>
        <b/>
        <sz val="11"/>
        <rFont val="Calibri"/>
        <family val="2"/>
      </rPr>
      <t>ACTIVOS</t>
    </r>
  </si>
  <si>
    <r>
      <rPr>
        <sz val="11"/>
        <rFont val="Calibri"/>
        <family val="2"/>
      </rPr>
      <t>31/12/2024</t>
    </r>
  </si>
  <si>
    <r>
      <rPr>
        <sz val="11"/>
        <rFont val="Calibri"/>
        <family val="2"/>
      </rPr>
      <t>31/12/2023</t>
    </r>
  </si>
  <si>
    <r>
      <rPr>
        <sz val="11"/>
        <rFont val="Calibri"/>
        <family val="2"/>
      </rPr>
      <t>ACTIVO CORRIENTE</t>
    </r>
  </si>
  <si>
    <r>
      <rPr>
        <sz val="11"/>
        <rFont val="Calibri"/>
        <family val="2"/>
      </rPr>
      <t>ACTIVO NO CORRIENTE</t>
    </r>
  </si>
  <si>
    <r>
      <rPr>
        <sz val="11"/>
        <rFont val="Calibri"/>
        <family val="2"/>
      </rPr>
      <t>Bienes de Uso (Anexo 1)</t>
    </r>
  </si>
  <si>
    <r>
      <rPr>
        <b/>
        <sz val="11"/>
        <rFont val="Calibri"/>
        <family val="2"/>
      </rPr>
      <t>PASIVOS</t>
    </r>
  </si>
  <si>
    <r>
      <rPr>
        <sz val="11"/>
        <rFont val="Calibri"/>
        <family val="2"/>
      </rPr>
      <t>PASIVO CORRIENTE</t>
    </r>
  </si>
  <si>
    <r>
      <rPr>
        <sz val="11"/>
        <rFont val="Calibri"/>
        <family val="2"/>
      </rPr>
      <t>Deudas Comerciales (Nota 6)</t>
    </r>
  </si>
  <si>
    <r>
      <rPr>
        <sz val="11"/>
        <rFont val="Calibri"/>
        <family val="2"/>
      </rPr>
      <t>Deudas Financieras (Nota 7)</t>
    </r>
  </si>
  <si>
    <r>
      <rPr>
        <sz val="11"/>
        <rFont val="Calibri"/>
        <family val="2"/>
      </rPr>
      <t>Deudas Sociales (Nota 8)</t>
    </r>
  </si>
  <si>
    <r>
      <rPr>
        <sz val="11"/>
        <rFont val="Calibri"/>
        <family val="2"/>
      </rPr>
      <t>Deudas Fiscales (Nota 9)</t>
    </r>
  </si>
  <si>
    <r>
      <rPr>
        <sz val="11"/>
        <rFont val="Calibri"/>
        <family val="2"/>
      </rPr>
      <t>Otras Deudas (Nota 10)</t>
    </r>
  </si>
  <si>
    <r>
      <rPr>
        <sz val="11"/>
        <rFont val="Calibri"/>
        <family val="2"/>
      </rPr>
      <t>PASIVO NO CORRIENTE</t>
    </r>
  </si>
  <si>
    <r>
      <rPr>
        <sz val="11"/>
        <rFont val="Calibri"/>
        <family val="2"/>
      </rPr>
      <t>Deudas Fiscales (Nota 8)</t>
    </r>
  </si>
  <si>
    <r>
      <rPr>
        <sz val="11"/>
        <rFont val="Calibri"/>
        <family val="2"/>
      </rPr>
      <t>Según Estado Respectivo</t>
    </r>
  </si>
  <si>
    <r>
      <rPr>
        <b/>
        <sz val="11"/>
        <rFont val="Calibri"/>
        <family val="2"/>
      </rPr>
      <t>TOTAL PASIVO + P.N.</t>
    </r>
  </si>
  <si>
    <t>S/VENTAS</t>
  </si>
  <si>
    <t>85.263.484,60</t>
  </si>
  <si>
    <t>322.970.145,35</t>
  </si>
  <si>
    <t>81.037.110,96</t>
  </si>
  <si>
    <t>486.360.501,91</t>
  </si>
  <si>
    <t>8.470.652,70</t>
  </si>
  <si>
    <t>61.875.715,59</t>
  </si>
  <si>
    <t>12.697.026,34</t>
  </si>
  <si>
    <t>- 101.514.640,97</t>
  </si>
  <si>
    <r>
      <rPr>
        <sz val="11"/>
        <color theme="1"/>
        <rFont val="Calibri"/>
        <family val="2"/>
      </rPr>
      <t>Imp. DyC Bancarios</t>
    </r>
  </si>
  <si>
    <t>2023 VS 2022</t>
  </si>
  <si>
    <t>2021 VS 2022</t>
  </si>
  <si>
    <t>2024 VS 2021</t>
  </si>
  <si>
    <t>2024 VS 2022</t>
  </si>
  <si>
    <r>
      <rPr>
        <b/>
        <sz val="11"/>
        <rFont val="Calibri"/>
        <family val="2"/>
      </rPr>
      <t>PATRIMONIO NETO</t>
    </r>
  </si>
  <si>
    <t>2022 VS 2021</t>
  </si>
  <si>
    <r>
      <rPr>
        <b/>
        <sz val="18"/>
        <rFont val="Calibri"/>
        <family val="2"/>
        <scheme val="minor"/>
      </rPr>
      <t>ESTADO DE FLUJO DE EFECTIVO</t>
    </r>
  </si>
  <si>
    <r>
      <rPr>
        <b/>
        <sz val="11"/>
        <rFont val="Calibri"/>
        <family val="2"/>
        <scheme val="minor"/>
      </rPr>
      <t>DETALLE</t>
    </r>
  </si>
  <si>
    <t>31/12/2021</t>
  </si>
  <si>
    <r>
      <rPr>
        <b/>
        <sz val="11"/>
        <rFont val="Calibri"/>
        <family val="2"/>
        <scheme val="minor"/>
      </rPr>
      <t>Aumento Neto del Efectivo</t>
    </r>
  </si>
  <si>
    <r>
      <rPr>
        <b/>
        <sz val="11"/>
        <rFont val="Calibri"/>
        <family val="2"/>
        <scheme val="minor"/>
      </rPr>
      <t>Causas de la Variación del Efectivo</t>
    </r>
  </si>
  <si>
    <r>
      <rPr>
        <b/>
        <sz val="11"/>
        <rFont val="Calibri"/>
        <family val="2"/>
        <scheme val="minor"/>
      </rPr>
      <t>Flujo de efvo generado por actlvld. operativas</t>
    </r>
  </si>
  <si>
    <r>
      <rPr>
        <b/>
        <sz val="11"/>
        <rFont val="Calibri"/>
        <family val="2"/>
        <scheme val="minor"/>
      </rPr>
      <t>Flujo de efvo generado por actlvid. de inversión</t>
    </r>
  </si>
  <si>
    <r>
      <rPr>
        <b/>
        <sz val="11"/>
        <rFont val="Calibri"/>
        <family val="2"/>
        <scheme val="minor"/>
      </rPr>
      <t>Flujo de efvo generado por actlvld. de flnanc.</t>
    </r>
  </si>
  <si>
    <r>
      <rPr>
        <b/>
        <sz val="11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31/12/2024</t>
    </r>
  </si>
  <si>
    <r>
      <rPr>
        <b/>
        <sz val="11"/>
        <rFont val="Calibri"/>
        <family val="2"/>
        <scheme val="minor"/>
      </rPr>
      <t>1. Actividades Operativas</t>
    </r>
    <r>
      <rPr>
        <sz val="10"/>
        <rFont val="Calibri"/>
        <family val="2"/>
        <scheme val="minor"/>
      </rPr>
      <t xml:space="preserve">   </t>
    </r>
  </si>
  <si>
    <r>
      <rPr>
        <b/>
        <sz val="11"/>
        <rFont val="Calibri"/>
        <family val="2"/>
        <scheme val="minor"/>
      </rPr>
      <t xml:space="preserve">3. Actividades de Financiación </t>
    </r>
    <r>
      <rPr>
        <sz val="10"/>
        <rFont val="Calibri"/>
        <family val="2"/>
        <scheme val="minor"/>
      </rPr>
      <t xml:space="preserve"> </t>
    </r>
  </si>
  <si>
    <t>-</t>
  </si>
  <si>
    <t>2024 vs 2023</t>
  </si>
  <si>
    <t>2023 vs 2022</t>
  </si>
  <si>
    <t>2022 vs 2021</t>
  </si>
  <si>
    <r>
      <rPr>
        <b/>
        <sz val="11"/>
        <rFont val="Calibri"/>
        <family val="2"/>
      </rPr>
      <t>Total Activo Corriente</t>
    </r>
  </si>
  <si>
    <r>
      <rPr>
        <b/>
        <sz val="11"/>
        <rFont val="Calibri"/>
        <family val="2"/>
      </rPr>
      <t>TOTAL ACTIVO</t>
    </r>
  </si>
  <si>
    <r>
      <rPr>
        <b/>
        <sz val="11"/>
        <rFont val="Calibri"/>
        <family val="2"/>
      </rPr>
      <t>Total Pasivo Corriente</t>
    </r>
  </si>
  <si>
    <r>
      <rPr>
        <b/>
        <sz val="11"/>
        <rFont val="Calibri"/>
        <family val="2"/>
      </rPr>
      <t>Total Pasivo No Corriente</t>
    </r>
  </si>
  <si>
    <r>
      <rPr>
        <b/>
        <sz val="11"/>
        <rFont val="Calibri"/>
        <family val="2"/>
      </rPr>
      <t>TOTAL DE PASIVO</t>
    </r>
  </si>
  <si>
    <r>
      <rPr>
        <b/>
        <sz val="11"/>
        <rFont val="Calibri"/>
        <family val="2"/>
      </rPr>
      <t>TOTAL PATRIMONIO NETO</t>
    </r>
  </si>
  <si>
    <t>VENTAS</t>
  </si>
  <si>
    <t>$</t>
  </si>
  <si>
    <t>ACTIVO</t>
  </si>
  <si>
    <t>Activo corriente</t>
  </si>
  <si>
    <t>Total del activo corriente</t>
  </si>
  <si>
    <t>Activo no corriente</t>
  </si>
  <si>
    <t>Total del activo no corriente</t>
  </si>
  <si>
    <t>Total del activo</t>
  </si>
  <si>
    <t>PASIVO</t>
  </si>
  <si>
    <t>Pasivo corriente</t>
  </si>
  <si>
    <t>Total del pasivo corriente</t>
  </si>
  <si>
    <t>Pasivo no corriente</t>
  </si>
  <si>
    <t>Total del pasivo no corriente</t>
  </si>
  <si>
    <t>Total del pasivo</t>
  </si>
  <si>
    <t>PATRIMONIO NETO (según estado de cambios en el patrimonio)</t>
  </si>
  <si>
    <t>TOTAL PATRIMONIO NETO</t>
  </si>
  <si>
    <t>TOTAL PASIVO Y PATRIMONIO NETO</t>
  </si>
  <si>
    <t>31.12.2021</t>
  </si>
  <si>
    <t>31.12.2022</t>
  </si>
  <si>
    <t>31.12.2023</t>
  </si>
  <si>
    <t>NADAL Y ZACCARO S.A</t>
  </si>
  <si>
    <t>31.12.2024</t>
  </si>
  <si>
    <t>Bienes de Uso (Anexo 1)</t>
  </si>
  <si>
    <t>Deudas Comerciales (Nota 6)</t>
  </si>
  <si>
    <t>Deudas Financieras (Nota 7)</t>
  </si>
  <si>
    <t>Deudas Sociales (Nota 8)</t>
  </si>
  <si>
    <t>Deudas Fiscales (Nota 9)</t>
  </si>
  <si>
    <t>Otras Deudas (Nota 10)</t>
  </si>
  <si>
    <t>Deudas Fiscales (Nota 8)</t>
  </si>
  <si>
    <t>Según Estado Respectivo</t>
  </si>
  <si>
    <t>Cantidad de Acciones</t>
  </si>
  <si>
    <t>Anio</t>
  </si>
  <si>
    <t>TOTAL PASIVO</t>
  </si>
  <si>
    <t>Resultado bruto</t>
  </si>
  <si>
    <t>Gastos</t>
  </si>
  <si>
    <t>Resultado operativo</t>
  </si>
  <si>
    <t>Resultado antes del impuesto a las ganancias</t>
  </si>
  <si>
    <t>Impuesto a las ganancias</t>
  </si>
  <si>
    <t>Resultado ordinario</t>
  </si>
  <si>
    <t>RESULTADO INTEGRAL DEL EJERCICIO</t>
  </si>
  <si>
    <t>Resultado por accion bàsico</t>
  </si>
  <si>
    <t>Resultado integral del ejercicio</t>
  </si>
  <si>
    <t>Cantidad acciones circulacion</t>
  </si>
  <si>
    <t>Resultado del ejercicio por accion</t>
  </si>
  <si>
    <t>ESTADO DE RESULTADOS INTEGRAL CONSOLIDADO AL 31.12.2024</t>
  </si>
  <si>
    <t>ESTADO DE SITUACION FINANCIERA CONSOLIDADO AL 31.12.2024</t>
  </si>
  <si>
    <t>Valor Libro de la Acción</t>
  </si>
  <si>
    <t>Indicadores Económico - Financieros</t>
  </si>
  <si>
    <t>Datos de Balance (al cierre de cada ejercicio)</t>
  </si>
  <si>
    <t>Resultados</t>
  </si>
  <si>
    <t>Ventas</t>
  </si>
  <si>
    <t>Utilidad Bruta</t>
  </si>
  <si>
    <t>Depreciaciones</t>
  </si>
  <si>
    <t>Utilidad Neta</t>
  </si>
  <si>
    <t>Intereses Perdidos</t>
  </si>
  <si>
    <t xml:space="preserve">Dividendos </t>
  </si>
  <si>
    <t>Situación Patrimonial</t>
  </si>
  <si>
    <t>Activo Total</t>
  </si>
  <si>
    <t>Pasivo Total</t>
  </si>
  <si>
    <t>Deuda Financiera</t>
  </si>
  <si>
    <t>Patrimonio Neto</t>
  </si>
  <si>
    <t xml:space="preserve">Retorno sobre la inversion </t>
  </si>
  <si>
    <t>EBITDA / Activo Total</t>
  </si>
  <si>
    <t>%</t>
  </si>
  <si>
    <t>EBIT / Activo Total</t>
  </si>
  <si>
    <t>Utilidad Neta / Activo Total (ROA)</t>
  </si>
  <si>
    <t>Utilidad Neta / Pat. Neto (ROE)</t>
  </si>
  <si>
    <t>Margen de Rentabilidad</t>
  </si>
  <si>
    <t>Margen Bruto</t>
  </si>
  <si>
    <t>EBITDA / Ventas</t>
  </si>
  <si>
    <t>EBIT / Ventas</t>
  </si>
  <si>
    <t>Utilidad Neta / Ventas</t>
  </si>
  <si>
    <t>Eficiencia de Operaciones</t>
  </si>
  <si>
    <t>Ventas / Activo total</t>
  </si>
  <si>
    <t>veces</t>
  </si>
  <si>
    <t>Ventas / Activos fijos netos</t>
  </si>
  <si>
    <t>Ventas / Creditos por ventas</t>
  </si>
  <si>
    <t>Plazo promedio de cobranza</t>
  </si>
  <si>
    <t>dias</t>
  </si>
  <si>
    <t>Rotacion de inventarios</t>
  </si>
  <si>
    <t>Plazo promedio de pago a proveed.</t>
  </si>
  <si>
    <t>Ciclo Operativo (días)</t>
  </si>
  <si>
    <t>Ciclo de Tesorería (días)</t>
  </si>
  <si>
    <t>Apalancamiento</t>
  </si>
  <si>
    <t>Deuda Total / Activo Total</t>
  </si>
  <si>
    <t>Deuda Fin / Activo Total</t>
  </si>
  <si>
    <t>Deuda Total / Patrimonio Neto</t>
  </si>
  <si>
    <t>Deuda Fin / Patrimonio Neto</t>
  </si>
  <si>
    <t>EBIT / Intereses (cobertura)</t>
  </si>
  <si>
    <t>Activo total / Pat. Neto (multiplicador)</t>
  </si>
  <si>
    <t>Intereses / Deuda Financiera</t>
  </si>
  <si>
    <t>Liquidez</t>
  </si>
  <si>
    <t>Activo Corriente / Pasivo Corriente</t>
  </si>
  <si>
    <t>Prueba acida (AC - Inv) / PC</t>
  </si>
  <si>
    <t xml:space="preserve">Disponib. / (Gtos Operativos/365) </t>
  </si>
  <si>
    <t>Otros indicadores</t>
  </si>
  <si>
    <t>Razón de distribución</t>
  </si>
  <si>
    <t>Razón de retención</t>
  </si>
  <si>
    <t>Depreciación / Activos fijos netos</t>
  </si>
  <si>
    <t>Inversiones / Activo total</t>
  </si>
  <si>
    <t>Tasa efectiva de impuesto</t>
  </si>
  <si>
    <t>Tasa de crecimiento anual compuesto (CAGR)</t>
  </si>
  <si>
    <t>CAGR Ventas constante</t>
  </si>
  <si>
    <t>CAGR Utilidad Neta constante</t>
  </si>
  <si>
    <t>Margen Operativo (EBIT / Vtas.)</t>
  </si>
  <si>
    <t xml:space="preserve">Identidad de Du Pont </t>
  </si>
  <si>
    <t>Contable</t>
  </si>
  <si>
    <t>Margen (Util. Neta / Vtas.)</t>
  </si>
  <si>
    <t>Carga de Intereses (EBT / EBIT)</t>
  </si>
  <si>
    <t>Afectado por RECPAM</t>
  </si>
  <si>
    <t>Retorno s/Activos ROA (Util. Neta / Activo)</t>
  </si>
  <si>
    <t>Carga Tributaria (Util. Neta / EBT)</t>
  </si>
  <si>
    <t>Retorno sobre Capital Propio (Util. Neta / PN)</t>
  </si>
  <si>
    <t>Rotacion (Vtas. / Activo)</t>
  </si>
  <si>
    <t>Multiplicador (Activo / PN)</t>
  </si>
  <si>
    <t>Activo Corriente</t>
  </si>
  <si>
    <t>Activo No Corriente</t>
  </si>
  <si>
    <t>Pasivo Corriente</t>
  </si>
  <si>
    <t>Pasivo No Corriente</t>
  </si>
  <si>
    <t>31.12.2020</t>
  </si>
  <si>
    <t>31.12.2019</t>
  </si>
  <si>
    <t>31.12.2018</t>
  </si>
  <si>
    <t>31.12.2017</t>
  </si>
  <si>
    <t>31.12.2016</t>
  </si>
  <si>
    <t>31.12.2015</t>
  </si>
  <si>
    <t>31.12.2014</t>
  </si>
  <si>
    <t>31.12.2013</t>
  </si>
  <si>
    <t>FECHA</t>
  </si>
  <si>
    <t>RESULTADO NETO</t>
  </si>
  <si>
    <t>Crecimiento (2024/2021)</t>
  </si>
  <si>
    <t>Variacion del Capital de Trabajo</t>
  </si>
  <si>
    <t>FCF</t>
  </si>
  <si>
    <t>Flujo de efectivo</t>
  </si>
  <si>
    <t>ECF</t>
  </si>
  <si>
    <t>CCF</t>
  </si>
  <si>
    <t>Capital De Trabajo</t>
  </si>
  <si>
    <t>Variacion de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</si>
</sst>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&quot;$&quot;* #,##0_-;\-&quot;$&quot;* #,##0_-;_-&quot;$&quot;* &quot;-&quot;??_-;_-@"/>
    <numFmt numFmtId="166" formatCode="_-&quot;$&quot;\ * #,##0_-;\-&quot;$&quot;\ * #,##0_-;_-&quot;$&quot;\ * &quot;-&quot;??_-;_-@_-"/>
    <numFmt numFmtId="167" formatCode="_(* #,##0_);_(* \(#,##0\);_(* &quot;-&quot;??_);_(@_)"/>
    <numFmt numFmtId="168" formatCode="0.0%"/>
    <numFmt numFmtId="169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28"/>
      <name val="Calibri"/>
      <family val="2"/>
    </font>
    <font>
      <u/>
      <sz val="11"/>
      <name val="Calibri"/>
      <family val="2"/>
    </font>
    <font>
      <sz val="11.5"/>
      <name val="Times New Roman"/>
      <family val="1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.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i/>
      <sz val="11"/>
      <color rgb="FF00206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 style="thick">
        <color theme="0" tint="-4.9989318521683403E-2"/>
      </left>
      <right/>
      <top/>
      <bottom/>
      <diagonal/>
    </border>
    <border>
      <left style="thick">
        <color theme="0" tint="-4.9989318521683403E-2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 style="thick">
        <color theme="0" tint="-4.9989318521683403E-2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4659260841701"/>
      </bottom>
      <diagonal/>
    </border>
    <border>
      <left/>
      <right/>
      <top style="thin">
        <color indexed="64"/>
      </top>
      <bottom style="hair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/>
      <top style="hair">
        <color theme="0" tint="-0.24994659260841701"/>
      </top>
      <bottom style="thin">
        <color indexed="64"/>
      </bottom>
      <diagonal/>
    </border>
    <border>
      <left/>
      <right/>
      <top style="hair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/>
      <right/>
      <top/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</cellStyleXfs>
  <cellXfs count="230">
    <xf numFmtId="0" fontId="0" fillId="0" borderId="0" xfId="0"/>
    <xf numFmtId="0" fontId="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1" xfId="3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3" applyNumberFormat="1" applyFont="1" applyBorder="1" applyAlignment="1">
      <alignment horizontal="center"/>
    </xf>
    <xf numFmtId="164" fontId="0" fillId="0" borderId="1" xfId="1" applyFont="1" applyBorder="1" applyAlignment="1">
      <alignment horizontal="center" wrapText="1"/>
    </xf>
    <xf numFmtId="164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164" fontId="9" fillId="0" borderId="1" xfId="1" applyFont="1" applyBorder="1" applyAlignment="1">
      <alignment horizontal="center" vertical="center" wrapText="1"/>
    </xf>
    <xf numFmtId="164" fontId="0" fillId="0" borderId="1" xfId="1" applyFont="1" applyBorder="1" applyAlignment="1">
      <alignment horizontal="center"/>
    </xf>
    <xf numFmtId="164" fontId="1" fillId="0" borderId="1" xfId="1" applyFont="1" applyBorder="1" applyAlignment="1">
      <alignment horizontal="center" wrapText="1"/>
    </xf>
    <xf numFmtId="164" fontId="9" fillId="0" borderId="1" xfId="1" applyFont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0" xfId="0" applyNumberFormat="1"/>
    <xf numFmtId="9" fontId="0" fillId="0" borderId="0" xfId="3" applyFont="1"/>
    <xf numFmtId="0" fontId="3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9" fontId="0" fillId="0" borderId="0" xfId="3" applyFont="1" applyAlignment="1">
      <alignment horizontal="center"/>
    </xf>
    <xf numFmtId="164" fontId="9" fillId="0" borderId="1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top"/>
    </xf>
    <xf numFmtId="14" fontId="7" fillId="6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1" xfId="0" applyBorder="1"/>
    <xf numFmtId="0" fontId="12" fillId="0" borderId="1" xfId="0" applyFont="1" applyBorder="1" applyAlignment="1">
      <alignment horizontal="left" vertical="top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164" fontId="0" fillId="5" borderId="1" xfId="1" applyFont="1" applyFill="1" applyBorder="1" applyAlignment="1">
      <alignment horizontal="center" vertical="center" wrapText="1"/>
    </xf>
    <xf numFmtId="164" fontId="0" fillId="5" borderId="1" xfId="1" applyFont="1" applyFill="1" applyBorder="1" applyAlignment="1">
      <alignment horizontal="center" wrapText="1"/>
    </xf>
    <xf numFmtId="164" fontId="0" fillId="5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164" fontId="0" fillId="2" borderId="1" xfId="1" applyFont="1" applyFill="1" applyBorder="1" applyAlignment="1">
      <alignment horizontal="center" vertical="center" wrapText="1"/>
    </xf>
    <xf numFmtId="164" fontId="0" fillId="2" borderId="1" xfId="1" applyFont="1" applyFill="1" applyBorder="1" applyAlignment="1">
      <alignment horizontal="center" wrapText="1"/>
    </xf>
    <xf numFmtId="164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wrapText="1"/>
    </xf>
    <xf numFmtId="164" fontId="0" fillId="3" borderId="1" xfId="1" applyFont="1" applyFill="1" applyBorder="1" applyAlignment="1">
      <alignment horizontal="center" vertical="center" wrapText="1"/>
    </xf>
    <xf numFmtId="164" fontId="0" fillId="3" borderId="1" xfId="1" applyFont="1" applyFill="1" applyBorder="1" applyAlignment="1">
      <alignment horizontal="center" wrapText="1"/>
    </xf>
    <xf numFmtId="164" fontId="0" fillId="3" borderId="1" xfId="1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 wrapText="1"/>
    </xf>
    <xf numFmtId="0" fontId="0" fillId="10" borderId="0" xfId="0" applyFill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6" fillId="0" borderId="1" xfId="2" applyFont="1" applyBorder="1" applyAlignment="1">
      <alignment horizontal="center" wrapText="1"/>
    </xf>
    <xf numFmtId="14" fontId="16" fillId="0" borderId="1" xfId="2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4" fontId="17" fillId="0" borderId="1" xfId="4" applyNumberFormat="1" applyFont="1" applyBorder="1" applyAlignment="1">
      <alignment horizontal="center" vertical="top" wrapText="1"/>
    </xf>
    <xf numFmtId="4" fontId="16" fillId="0" borderId="1" xfId="2" applyNumberFormat="1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/>
    </xf>
    <xf numFmtId="9" fontId="0" fillId="5" borderId="1" xfId="3" applyFont="1" applyFill="1" applyBorder="1" applyAlignment="1">
      <alignment horizontal="center"/>
    </xf>
    <xf numFmtId="9" fontId="0" fillId="2" borderId="1" xfId="3" applyFont="1" applyFill="1" applyBorder="1" applyAlignment="1">
      <alignment horizontal="center"/>
    </xf>
    <xf numFmtId="9" fontId="0" fillId="3" borderId="1" xfId="3" applyFont="1" applyFill="1" applyBorder="1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5" borderId="1" xfId="1" applyFont="1" applyFill="1" applyBorder="1" applyAlignment="1">
      <alignment horizontal="center" vertical="center" wrapText="1"/>
    </xf>
    <xf numFmtId="9" fontId="7" fillId="0" borderId="1" xfId="3" applyFont="1" applyBorder="1" applyAlignment="1">
      <alignment horizontal="center"/>
    </xf>
    <xf numFmtId="164" fontId="7" fillId="5" borderId="1" xfId="1" applyFont="1" applyFill="1" applyBorder="1" applyAlignment="1">
      <alignment horizontal="center" wrapText="1"/>
    </xf>
    <xf numFmtId="164" fontId="7" fillId="5" borderId="1" xfId="1" applyFont="1" applyFill="1" applyBorder="1" applyAlignment="1">
      <alignment horizontal="center"/>
    </xf>
    <xf numFmtId="164" fontId="7" fillId="2" borderId="1" xfId="1" applyFont="1" applyFill="1" applyBorder="1" applyAlignment="1">
      <alignment horizontal="center" vertical="center" wrapText="1"/>
    </xf>
    <xf numFmtId="164" fontId="7" fillId="2" borderId="1" xfId="1" applyFont="1" applyFill="1" applyBorder="1" applyAlignment="1">
      <alignment horizontal="center" wrapText="1"/>
    </xf>
    <xf numFmtId="164" fontId="7" fillId="2" borderId="1" xfId="1" applyFont="1" applyFill="1" applyBorder="1" applyAlignment="1">
      <alignment horizontal="center"/>
    </xf>
    <xf numFmtId="9" fontId="7" fillId="2" borderId="1" xfId="3" applyFont="1" applyFill="1" applyBorder="1" applyAlignment="1">
      <alignment horizontal="center"/>
    </xf>
    <xf numFmtId="164" fontId="7" fillId="3" borderId="1" xfId="1" applyFont="1" applyFill="1" applyBorder="1" applyAlignment="1">
      <alignment horizontal="center" vertical="center" wrapText="1"/>
    </xf>
    <xf numFmtId="164" fontId="7" fillId="3" borderId="1" xfId="1" applyFont="1" applyFill="1" applyBorder="1" applyAlignment="1">
      <alignment horizontal="center" wrapText="1"/>
    </xf>
    <xf numFmtId="164" fontId="7" fillId="3" borderId="1" xfId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3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vertical="top"/>
    </xf>
    <xf numFmtId="164" fontId="2" fillId="0" borderId="1" xfId="1" applyFont="1" applyBorder="1" applyAlignment="1">
      <alignment horizontal="center" vertical="center"/>
    </xf>
    <xf numFmtId="0" fontId="20" fillId="14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0" fontId="3" fillId="14" borderId="8" xfId="0" applyFont="1" applyFill="1" applyBorder="1"/>
    <xf numFmtId="165" fontId="21" fillId="14" borderId="8" xfId="0" applyNumberFormat="1" applyFont="1" applyFill="1" applyBorder="1" applyAlignment="1">
      <alignment horizontal="center"/>
    </xf>
    <xf numFmtId="0" fontId="21" fillId="14" borderId="0" xfId="0" applyFont="1" applyFill="1"/>
    <xf numFmtId="165" fontId="3" fillId="14" borderId="0" xfId="0" applyNumberFormat="1" applyFont="1" applyFill="1"/>
    <xf numFmtId="3" fontId="3" fillId="14" borderId="0" xfId="0" applyNumberFormat="1" applyFont="1" applyFill="1"/>
    <xf numFmtId="0" fontId="1" fillId="14" borderId="0" xfId="0" applyFont="1" applyFill="1"/>
    <xf numFmtId="0" fontId="0" fillId="14" borderId="0" xfId="0" applyFill="1"/>
    <xf numFmtId="0" fontId="21" fillId="14" borderId="9" xfId="0" applyFont="1" applyFill="1" applyBorder="1"/>
    <xf numFmtId="0" fontId="21" fillId="14" borderId="12" xfId="0" applyFont="1" applyFill="1" applyBorder="1"/>
    <xf numFmtId="165" fontId="19" fillId="14" borderId="0" xfId="0" applyNumberFormat="1" applyFont="1" applyFill="1"/>
    <xf numFmtId="0" fontId="19" fillId="14" borderId="0" xfId="0" applyFont="1" applyFill="1" applyAlignment="1">
      <alignment horizontal="left"/>
    </xf>
    <xf numFmtId="0" fontId="0" fillId="14" borderId="0" xfId="0" applyFill="1" applyAlignment="1">
      <alignment horizontal="left" vertical="center" wrapText="1"/>
    </xf>
    <xf numFmtId="0" fontId="1" fillId="14" borderId="7" xfId="0" applyFont="1" applyFill="1" applyBorder="1"/>
    <xf numFmtId="166" fontId="3" fillId="14" borderId="0" xfId="1" applyNumberFormat="1" applyFont="1" applyFill="1" applyAlignment="1">
      <alignment horizontal="center"/>
    </xf>
    <xf numFmtId="166" fontId="21" fillId="14" borderId="0" xfId="1" applyNumberFormat="1" applyFont="1" applyFill="1" applyAlignment="1">
      <alignment horizontal="center"/>
    </xf>
    <xf numFmtId="166" fontId="21" fillId="14" borderId="8" xfId="1" applyNumberFormat="1" applyFont="1" applyFill="1" applyBorder="1" applyAlignment="1">
      <alignment horizontal="center"/>
    </xf>
    <xf numFmtId="167" fontId="1" fillId="14" borderId="0" xfId="5" applyNumberFormat="1" applyFont="1" applyFill="1" applyAlignment="1">
      <alignment horizontal="center"/>
    </xf>
    <xf numFmtId="167" fontId="3" fillId="14" borderId="0" xfId="5" applyNumberFormat="1" applyFont="1" applyFill="1" applyAlignment="1">
      <alignment horizontal="center"/>
    </xf>
    <xf numFmtId="167" fontId="3" fillId="14" borderId="7" xfId="5" applyNumberFormat="1" applyFont="1" applyFill="1" applyBorder="1" applyAlignment="1">
      <alignment horizontal="center"/>
    </xf>
    <xf numFmtId="167" fontId="21" fillId="14" borderId="0" xfId="5" applyNumberFormat="1" applyFont="1" applyFill="1" applyAlignment="1">
      <alignment horizontal="center"/>
    </xf>
    <xf numFmtId="167" fontId="21" fillId="14" borderId="11" xfId="5" applyNumberFormat="1" applyFont="1" applyFill="1" applyBorder="1" applyAlignment="1">
      <alignment horizontal="center"/>
    </xf>
    <xf numFmtId="167" fontId="21" fillId="14" borderId="12" xfId="5" applyNumberFormat="1" applyFont="1" applyFill="1" applyBorder="1" applyAlignment="1">
      <alignment horizontal="center"/>
    </xf>
    <xf numFmtId="167" fontId="0" fillId="0" borderId="0" xfId="5" applyNumberFormat="1" applyFont="1" applyAlignment="1">
      <alignment horizontal="center"/>
    </xf>
    <xf numFmtId="167" fontId="21" fillId="14" borderId="10" xfId="5" applyNumberFormat="1" applyFont="1" applyFill="1" applyBorder="1" applyAlignment="1">
      <alignment horizontal="center"/>
    </xf>
    <xf numFmtId="167" fontId="21" fillId="14" borderId="13" xfId="5" applyNumberFormat="1" applyFont="1" applyFill="1" applyBorder="1" applyAlignment="1">
      <alignment horizontal="center"/>
    </xf>
    <xf numFmtId="167" fontId="21" fillId="14" borderId="14" xfId="5" applyNumberFormat="1" applyFont="1" applyFill="1" applyBorder="1" applyAlignment="1">
      <alignment horizontal="center"/>
    </xf>
    <xf numFmtId="167" fontId="0" fillId="0" borderId="0" xfId="5" applyNumberFormat="1" applyFont="1" applyAlignment="1"/>
    <xf numFmtId="3" fontId="0" fillId="14" borderId="0" xfId="0" applyNumberFormat="1" applyFill="1"/>
    <xf numFmtId="4" fontId="1" fillId="14" borderId="0" xfId="0" applyNumberFormat="1" applyFont="1" applyFill="1"/>
    <xf numFmtId="166" fontId="0" fillId="0" borderId="0" xfId="0" applyNumberFormat="1"/>
    <xf numFmtId="167" fontId="0" fillId="0" borderId="0" xfId="0" applyNumberFormat="1"/>
    <xf numFmtId="0" fontId="19" fillId="0" borderId="0" xfId="0" applyFont="1" applyAlignment="1">
      <alignment horizontal="center"/>
    </xf>
    <xf numFmtId="0" fontId="3" fillId="0" borderId="8" xfId="0" applyFont="1" applyBorder="1"/>
    <xf numFmtId="165" fontId="3" fillId="0" borderId="0" xfId="0" applyNumberFormat="1" applyFont="1"/>
    <xf numFmtId="0" fontId="1" fillId="0" borderId="0" xfId="0" applyFont="1"/>
    <xf numFmtId="0" fontId="21" fillId="0" borderId="0" xfId="0" applyFont="1"/>
    <xf numFmtId="0" fontId="22" fillId="0" borderId="0" xfId="0" applyFont="1"/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7" fontId="0" fillId="0" borderId="0" xfId="5" applyNumberFormat="1" applyFont="1" applyBorder="1" applyAlignment="1"/>
    <xf numFmtId="167" fontId="0" fillId="0" borderId="7" xfId="5" applyNumberFormat="1" applyFont="1" applyBorder="1" applyAlignment="1"/>
    <xf numFmtId="167" fontId="7" fillId="0" borderId="0" xfId="5" applyNumberFormat="1" applyFont="1" applyBorder="1" applyAlignment="1"/>
    <xf numFmtId="3" fontId="21" fillId="0" borderId="12" xfId="0" applyNumberFormat="1" applyFont="1" applyBorder="1"/>
    <xf numFmtId="3" fontId="21" fillId="0" borderId="0" xfId="0" applyNumberFormat="1" applyFont="1"/>
    <xf numFmtId="167" fontId="21" fillId="0" borderId="0" xfId="5" applyNumberFormat="1" applyFont="1" applyAlignment="1"/>
    <xf numFmtId="167" fontId="21" fillId="0" borderId="15" xfId="5" applyNumberFormat="1" applyFont="1" applyBorder="1" applyAlignment="1"/>
    <xf numFmtId="3" fontId="21" fillId="0" borderId="15" xfId="0" applyNumberFormat="1" applyFont="1" applyBorder="1"/>
    <xf numFmtId="167" fontId="3" fillId="0" borderId="0" xfId="5" applyNumberFormat="1" applyFont="1" applyAlignment="1"/>
    <xf numFmtId="3" fontId="3" fillId="0" borderId="0" xfId="0" applyNumberFormat="1" applyFont="1"/>
    <xf numFmtId="4" fontId="21" fillId="0" borderId="0" xfId="0" applyNumberFormat="1" applyFont="1"/>
    <xf numFmtId="167" fontId="2" fillId="0" borderId="0" xfId="5" applyNumberFormat="1" applyFont="1" applyBorder="1" applyAlignment="1"/>
    <xf numFmtId="167" fontId="2" fillId="0" borderId="7" xfId="5" applyNumberFormat="1" applyFont="1" applyBorder="1" applyAlignment="1"/>
    <xf numFmtId="167" fontId="5" fillId="0" borderId="0" xfId="5" applyNumberFormat="1" applyFont="1" applyBorder="1" applyAlignment="1"/>
    <xf numFmtId="167" fontId="15" fillId="0" borderId="0" xfId="5" applyNumberFormat="1" applyFont="1" applyBorder="1" applyAlignment="1"/>
    <xf numFmtId="0" fontId="24" fillId="14" borderId="0" xfId="0" applyFont="1" applyFill="1" applyAlignment="1">
      <alignment vertical="center"/>
    </xf>
    <xf numFmtId="0" fontId="24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vertical="center"/>
    </xf>
    <xf numFmtId="165" fontId="25" fillId="0" borderId="0" xfId="0" applyNumberFormat="1" applyFont="1"/>
    <xf numFmtId="0" fontId="25" fillId="14" borderId="0" xfId="0" applyFont="1" applyFill="1" applyAlignment="1">
      <alignment vertical="center"/>
    </xf>
    <xf numFmtId="0" fontId="24" fillId="14" borderId="0" xfId="0" applyFont="1" applyFill="1" applyAlignment="1">
      <alignment horizontal="left" vertical="center"/>
    </xf>
    <xf numFmtId="0" fontId="25" fillId="15" borderId="16" xfId="0" applyFont="1" applyFill="1" applyBorder="1" applyAlignment="1">
      <alignment horizontal="left" vertical="center"/>
    </xf>
    <xf numFmtId="0" fontId="24" fillId="15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24" fillId="14" borderId="17" xfId="0" applyFont="1" applyFill="1" applyBorder="1" applyAlignment="1">
      <alignment horizontal="left" vertical="center"/>
    </xf>
    <xf numFmtId="0" fontId="24" fillId="14" borderId="18" xfId="0" applyFont="1" applyFill="1" applyBorder="1" applyAlignment="1">
      <alignment horizontal="center" vertical="center"/>
    </xf>
    <xf numFmtId="3" fontId="24" fillId="14" borderId="18" xfId="0" applyNumberFormat="1" applyFont="1" applyFill="1" applyBorder="1" applyAlignment="1">
      <alignment horizontal="center" vertical="center"/>
    </xf>
    <xf numFmtId="168" fontId="24" fillId="14" borderId="18" xfId="3" applyNumberFormat="1" applyFont="1" applyFill="1" applyBorder="1" applyAlignment="1">
      <alignment horizontal="center" vertical="center"/>
    </xf>
    <xf numFmtId="0" fontId="24" fillId="14" borderId="19" xfId="0" applyFont="1" applyFill="1" applyBorder="1" applyAlignment="1">
      <alignment horizontal="left" vertical="center"/>
    </xf>
    <xf numFmtId="0" fontId="24" fillId="14" borderId="20" xfId="0" applyFont="1" applyFill="1" applyBorder="1" applyAlignment="1">
      <alignment horizontal="center" vertical="center"/>
    </xf>
    <xf numFmtId="168" fontId="24" fillId="14" borderId="20" xfId="3" applyNumberFormat="1" applyFont="1" applyFill="1" applyBorder="1" applyAlignment="1">
      <alignment horizontal="center" vertical="center"/>
    </xf>
    <xf numFmtId="169" fontId="24" fillId="14" borderId="18" xfId="0" applyNumberFormat="1" applyFont="1" applyFill="1" applyBorder="1" applyAlignment="1">
      <alignment horizontal="center" vertical="center"/>
    </xf>
    <xf numFmtId="169" fontId="24" fillId="14" borderId="20" xfId="0" applyNumberFormat="1" applyFont="1" applyFill="1" applyBorder="1" applyAlignment="1">
      <alignment horizontal="center" vertical="center"/>
    </xf>
    <xf numFmtId="9" fontId="24" fillId="14" borderId="18" xfId="3" applyFont="1" applyFill="1" applyBorder="1" applyAlignment="1">
      <alignment horizontal="center" vertical="center"/>
    </xf>
    <xf numFmtId="0" fontId="25" fillId="14" borderId="16" xfId="0" applyFont="1" applyFill="1" applyBorder="1" applyAlignment="1">
      <alignment horizontal="left" vertical="center"/>
    </xf>
    <xf numFmtId="169" fontId="24" fillId="14" borderId="0" xfId="0" applyNumberFormat="1" applyFont="1" applyFill="1" applyAlignment="1">
      <alignment horizontal="center" vertical="center"/>
    </xf>
    <xf numFmtId="168" fontId="24" fillId="14" borderId="0" xfId="3" applyNumberFormat="1" applyFont="1" applyFill="1" applyBorder="1" applyAlignment="1">
      <alignment horizontal="center" vertical="center"/>
    </xf>
    <xf numFmtId="0" fontId="24" fillId="14" borderId="21" xfId="0" applyFont="1" applyFill="1" applyBorder="1" applyAlignment="1">
      <alignment horizontal="left" vertical="center"/>
    </xf>
    <xf numFmtId="0" fontId="24" fillId="14" borderId="22" xfId="0" applyFont="1" applyFill="1" applyBorder="1" applyAlignment="1">
      <alignment horizontal="center" vertical="center"/>
    </xf>
    <xf numFmtId="168" fontId="24" fillId="14" borderId="23" xfId="3" applyNumberFormat="1" applyFont="1" applyFill="1" applyBorder="1" applyAlignment="1">
      <alignment horizontal="center" vertical="center"/>
    </xf>
    <xf numFmtId="0" fontId="24" fillId="14" borderId="24" xfId="0" applyFont="1" applyFill="1" applyBorder="1" applyAlignment="1">
      <alignment horizontal="left" vertical="center"/>
    </xf>
    <xf numFmtId="0" fontId="24" fillId="14" borderId="25" xfId="0" applyFont="1" applyFill="1" applyBorder="1" applyAlignment="1">
      <alignment horizontal="center" vertical="center"/>
    </xf>
    <xf numFmtId="168" fontId="24" fillId="14" borderId="26" xfId="3" applyNumberFormat="1" applyFont="1" applyFill="1" applyBorder="1" applyAlignment="1">
      <alignment horizontal="center" vertical="center"/>
    </xf>
    <xf numFmtId="1" fontId="24" fillId="14" borderId="18" xfId="0" applyNumberFormat="1" applyFont="1" applyFill="1" applyBorder="1" applyAlignment="1">
      <alignment horizontal="center" vertical="center"/>
    </xf>
    <xf numFmtId="168" fontId="24" fillId="14" borderId="0" xfId="3" applyNumberFormat="1" applyFont="1" applyFill="1" applyAlignment="1">
      <alignment horizontal="left" vertical="center"/>
    </xf>
    <xf numFmtId="0" fontId="25" fillId="14" borderId="27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left" vertical="center"/>
    </xf>
    <xf numFmtId="168" fontId="24" fillId="15" borderId="28" xfId="0" applyNumberFormat="1" applyFont="1" applyFill="1" applyBorder="1" applyAlignment="1">
      <alignment horizontal="center" vertical="center"/>
    </xf>
    <xf numFmtId="0" fontId="24" fillId="15" borderId="0" xfId="0" applyFont="1" applyFill="1" applyAlignment="1">
      <alignment horizontal="left" vertical="center"/>
    </xf>
    <xf numFmtId="9" fontId="24" fillId="14" borderId="0" xfId="0" applyNumberFormat="1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right" vertical="center"/>
    </xf>
    <xf numFmtId="168" fontId="24" fillId="14" borderId="0" xfId="0" applyNumberFormat="1" applyFont="1" applyFill="1" applyAlignment="1">
      <alignment horizontal="center" vertical="center"/>
    </xf>
    <xf numFmtId="168" fontId="24" fillId="14" borderId="0" xfId="3" applyNumberFormat="1" applyFont="1" applyFill="1" applyAlignment="1">
      <alignment horizontal="center" vertical="center"/>
    </xf>
    <xf numFmtId="9" fontId="24" fillId="14" borderId="0" xfId="3" applyFont="1" applyFill="1" applyAlignment="1">
      <alignment horizontal="center" vertical="center"/>
    </xf>
    <xf numFmtId="2" fontId="24" fillId="14" borderId="0" xfId="0" applyNumberFormat="1" applyFont="1" applyFill="1" applyAlignment="1">
      <alignment horizontal="center" vertical="center"/>
    </xf>
    <xf numFmtId="166" fontId="7" fillId="5" borderId="1" xfId="1" applyNumberFormat="1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166" fontId="7" fillId="16" borderId="1" xfId="1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166" fontId="7" fillId="8" borderId="1" xfId="1" applyNumberFormat="1" applyFont="1" applyFill="1" applyBorder="1" applyAlignment="1">
      <alignment horizontal="center"/>
    </xf>
    <xf numFmtId="166" fontId="7" fillId="8" borderId="1" xfId="1" applyNumberFormat="1" applyFont="1" applyFill="1" applyBorder="1"/>
    <xf numFmtId="166" fontId="7" fillId="5" borderId="1" xfId="1" applyNumberFormat="1" applyFont="1" applyFill="1" applyBorder="1"/>
    <xf numFmtId="1" fontId="24" fillId="14" borderId="0" xfId="1" applyNumberFormat="1" applyFont="1" applyFill="1" applyBorder="1" applyAlignment="1">
      <alignment horizontal="center" vertical="center"/>
    </xf>
    <xf numFmtId="3" fontId="24" fillId="14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65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6" fillId="5" borderId="1" xfId="2" applyFont="1" applyFill="1" applyBorder="1" applyAlignment="1">
      <alignment horizontal="center" wrapText="1"/>
    </xf>
    <xf numFmtId="0" fontId="16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wrapText="1"/>
    </xf>
    <xf numFmtId="0" fontId="16" fillId="0" borderId="1" xfId="2" applyFont="1" applyBorder="1" applyAlignment="1">
      <alignment horizontal="center" wrapText="1"/>
    </xf>
    <xf numFmtId="0" fontId="13" fillId="12" borderId="1" xfId="2" applyFont="1" applyFill="1" applyBorder="1" applyAlignment="1">
      <alignment horizontal="center" vertical="top" wrapText="1"/>
    </xf>
    <xf numFmtId="0" fontId="13" fillId="5" borderId="1" xfId="2" applyFont="1" applyFill="1" applyBorder="1" applyAlignment="1">
      <alignment horizontal="center" vertical="top" wrapText="1"/>
    </xf>
    <xf numFmtId="0" fontId="15" fillId="0" borderId="2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6" fillId="5" borderId="1" xfId="2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4" fillId="14" borderId="0" xfId="0" applyFont="1" applyFill="1" applyBorder="1" applyAlignment="1">
      <alignment horizontal="left" vertical="center"/>
    </xf>
    <xf numFmtId="1" fontId="24" fillId="14" borderId="0" xfId="0" applyNumberFormat="1" applyFont="1" applyFill="1" applyAlignment="1">
      <alignment horizontal="center" vertical="center"/>
    </xf>
    <xf numFmtId="167" fontId="21" fillId="14" borderId="29" xfId="5" applyNumberFormat="1" applyFont="1" applyFill="1" applyBorder="1" applyAlignment="1">
      <alignment horizontal="center"/>
    </xf>
  </cellXfs>
  <cellStyles count="6">
    <cellStyle name="Millares" xfId="5" builtinId="3"/>
    <cellStyle name="Moneda" xfId="1" builtinId="4"/>
    <cellStyle name="Normal" xfId="0" builtinId="0"/>
    <cellStyle name="Normal 2" xfId="2" xr:uid="{64B56BAB-FD76-4CAB-A926-0F9028AA0ADD}"/>
    <cellStyle name="Normal 3" xfId="4" xr:uid="{0F7232CB-128A-4484-9E90-82365F61FF61}"/>
    <cellStyle name="Porcentaje" xfId="3" builtinId="5"/>
  </cellStyles>
  <dxfs count="0"/>
  <tableStyles count="0" defaultTableStyle="TableStyleMedium2" defaultPivotStyle="PivotStyleLight16"/>
  <colors>
    <mruColors>
      <color rgb="FFCCCCFF"/>
      <color rgb="FF99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'TODOS LOS ANIOS'!$A$3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'TODOS LOS ANIOS'!$B$2:$M$2</c:f>
              <c:strCache>
                <c:ptCount val="12"/>
                <c:pt idx="0">
                  <c:v>31.12.2013</c:v>
                </c:pt>
                <c:pt idx="1">
                  <c:v>31.12.2014</c:v>
                </c:pt>
                <c:pt idx="2">
                  <c:v>31.12.2015</c:v>
                </c:pt>
                <c:pt idx="3">
                  <c:v>31.12.2016</c:v>
                </c:pt>
                <c:pt idx="4">
                  <c:v>31.12.2017</c:v>
                </c:pt>
                <c:pt idx="5">
                  <c:v>31.12.2018</c:v>
                </c:pt>
                <c:pt idx="6">
                  <c:v>31.12.2019</c:v>
                </c:pt>
                <c:pt idx="7">
                  <c:v>31.12.2020</c:v>
                </c:pt>
                <c:pt idx="8">
                  <c:v>31.12.2021</c:v>
                </c:pt>
                <c:pt idx="9">
                  <c:v>31.12.2022</c:v>
                </c:pt>
                <c:pt idx="10">
                  <c:v>31.12.2023</c:v>
                </c:pt>
                <c:pt idx="11">
                  <c:v>31.12.2024</c:v>
                </c:pt>
              </c:strCache>
            </c:strRef>
          </c:cat>
          <c:val>
            <c:numRef>
              <c:f>'TODOS LOS ANIOS'!$B$3:$M$3</c:f>
              <c:numCache>
                <c:formatCode>_-"$"\ * #,##0_-;\-"$"\ * #,##0_-;_-"$"\ * "-"??_-;_-@_-</c:formatCode>
                <c:ptCount val="12"/>
                <c:pt idx="0">
                  <c:v>1029960482</c:v>
                </c:pt>
                <c:pt idx="1">
                  <c:v>1156286375</c:v>
                </c:pt>
                <c:pt idx="2">
                  <c:v>1002161191</c:v>
                </c:pt>
                <c:pt idx="3">
                  <c:v>1046310986</c:v>
                </c:pt>
                <c:pt idx="4">
                  <c:v>1395120800</c:v>
                </c:pt>
                <c:pt idx="5">
                  <c:v>1467668602</c:v>
                </c:pt>
                <c:pt idx="6">
                  <c:v>1239945000</c:v>
                </c:pt>
                <c:pt idx="7">
                  <c:v>476205904</c:v>
                </c:pt>
                <c:pt idx="8">
                  <c:v>732841914.47040009</c:v>
                </c:pt>
                <c:pt idx="9">
                  <c:v>1649366946.2357996</c:v>
                </c:pt>
                <c:pt idx="10">
                  <c:v>2417205313</c:v>
                </c:pt>
                <c:pt idx="11">
                  <c:v>1674689775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5-4F1B-96F0-0CFC8AB9C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544543"/>
        <c:axId val="989545983"/>
      </c:barChart>
      <c:catAx>
        <c:axId val="98954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9545983"/>
        <c:crosses val="autoZero"/>
        <c:auto val="1"/>
        <c:lblAlgn val="ctr"/>
        <c:lblOffset val="100"/>
        <c:noMultiLvlLbl val="0"/>
      </c:catAx>
      <c:valAx>
        <c:axId val="98954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954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'TODOS LOS ANIOS'!$A$4</c:f>
              <c:strCache>
                <c:ptCount val="1"/>
                <c:pt idx="0">
                  <c:v>RESULTADO NETO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'TODOS LOS ANIOS'!$B$2:$M$2</c:f>
              <c:strCache>
                <c:ptCount val="12"/>
                <c:pt idx="0">
                  <c:v>31.12.2013</c:v>
                </c:pt>
                <c:pt idx="1">
                  <c:v>31.12.2014</c:v>
                </c:pt>
                <c:pt idx="2">
                  <c:v>31.12.2015</c:v>
                </c:pt>
                <c:pt idx="3">
                  <c:v>31.12.2016</c:v>
                </c:pt>
                <c:pt idx="4">
                  <c:v>31.12.2017</c:v>
                </c:pt>
                <c:pt idx="5">
                  <c:v>31.12.2018</c:v>
                </c:pt>
                <c:pt idx="6">
                  <c:v>31.12.2019</c:v>
                </c:pt>
                <c:pt idx="7">
                  <c:v>31.12.2020</c:v>
                </c:pt>
                <c:pt idx="8">
                  <c:v>31.12.2021</c:v>
                </c:pt>
                <c:pt idx="9">
                  <c:v>31.12.2022</c:v>
                </c:pt>
                <c:pt idx="10">
                  <c:v>31.12.2023</c:v>
                </c:pt>
                <c:pt idx="11">
                  <c:v>31.12.2024</c:v>
                </c:pt>
              </c:strCache>
            </c:strRef>
          </c:cat>
          <c:val>
            <c:numRef>
              <c:f>'TODOS LOS ANIOS'!$B$4:$M$4</c:f>
              <c:numCache>
                <c:formatCode>_-"$"\ * #,##0_-;\-"$"\ * #,##0_-;_-"$"\ * "-"??_-;_-@_-</c:formatCode>
                <c:ptCount val="12"/>
                <c:pt idx="0">
                  <c:v>35846930</c:v>
                </c:pt>
                <c:pt idx="1">
                  <c:v>70726469</c:v>
                </c:pt>
                <c:pt idx="2">
                  <c:v>64697240</c:v>
                </c:pt>
                <c:pt idx="3">
                  <c:v>77174187</c:v>
                </c:pt>
                <c:pt idx="4">
                  <c:v>95452431</c:v>
                </c:pt>
                <c:pt idx="5">
                  <c:v>66400410</c:v>
                </c:pt>
                <c:pt idx="6">
                  <c:v>-14612526</c:v>
                </c:pt>
                <c:pt idx="7">
                  <c:v>-72785893</c:v>
                </c:pt>
                <c:pt idx="8">
                  <c:v>48300212.107000001</c:v>
                </c:pt>
                <c:pt idx="9">
                  <c:v>213008129.74679998</c:v>
                </c:pt>
                <c:pt idx="10">
                  <c:v>303814749</c:v>
                </c:pt>
                <c:pt idx="11">
                  <c:v>94227753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1-47C9-B4B6-99018CDC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526783"/>
        <c:axId val="9895330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'TODOS LOS ANIOS'!$A$3</c15:sqref>
                        </c15:formulaRef>
                      </c:ext>
                    </c:extLst>
                    <c:strCache>
                      <c:ptCount val="1"/>
                      <c:pt idx="0">
                        <c:v>VENTAS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'TODOS LOS ANIOS'!$B$2:$M$2</c15:sqref>
                        </c15:formulaRef>
                      </c:ext>
                    </c:extLst>
                    <c:strCache>
                      <c:ptCount val="12"/>
                      <c:pt idx="0">
                        <c:v>31.12.2013</c:v>
                      </c:pt>
                      <c:pt idx="1">
                        <c:v>31.12.2014</c:v>
                      </c:pt>
                      <c:pt idx="2">
                        <c:v>31.12.2015</c:v>
                      </c:pt>
                      <c:pt idx="3">
                        <c:v>31.12.2016</c:v>
                      </c:pt>
                      <c:pt idx="4">
                        <c:v>31.12.2017</c:v>
                      </c:pt>
                      <c:pt idx="5">
                        <c:v>31.12.2018</c:v>
                      </c:pt>
                      <c:pt idx="6">
                        <c:v>31.12.2019</c:v>
                      </c:pt>
                      <c:pt idx="7">
                        <c:v>31.12.2020</c:v>
                      </c:pt>
                      <c:pt idx="8">
                        <c:v>31.12.2021</c:v>
                      </c:pt>
                      <c:pt idx="9">
                        <c:v>31.12.2022</c:v>
                      </c:pt>
                      <c:pt idx="10">
                        <c:v>31.12.2023</c:v>
                      </c:pt>
                      <c:pt idx="11">
                        <c:v>31.12.2024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'TODOS LOS ANIOS'!$B$3:$M$3</c15:sqref>
                        </c15:formulaRef>
                      </c:ext>
                    </c:extLst>
                    <c:numCache>
                      <c:formatCode>_-"$"\ * #,##0_-;\-"$"\ * #,##0_-;_-"$"\ * "-"??_-;_-@_-</c:formatCode>
                      <c:ptCount val="12"/>
                      <c:pt idx="0">
                        <c:v>1029960482</c:v>
                      </c:pt>
                      <c:pt idx="1">
                        <c:v>1156286375</c:v>
                      </c:pt>
                      <c:pt idx="2">
                        <c:v>1002161191</c:v>
                      </c:pt>
                      <c:pt idx="3">
                        <c:v>1046310986</c:v>
                      </c:pt>
                      <c:pt idx="4">
                        <c:v>1395120800</c:v>
                      </c:pt>
                      <c:pt idx="5">
                        <c:v>1467668602</c:v>
                      </c:pt>
                      <c:pt idx="6">
                        <c:v>1239945000</c:v>
                      </c:pt>
                      <c:pt idx="7">
                        <c:v>476205904</c:v>
                      </c:pt>
                      <c:pt idx="8">
                        <c:v>732841914.47040009</c:v>
                      </c:pt>
                      <c:pt idx="9">
                        <c:v>1649366946.2357996</c:v>
                      </c:pt>
                      <c:pt idx="10">
                        <c:v>2417205313</c:v>
                      </c:pt>
                      <c:pt idx="11">
                        <c:v>1674689775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E1-47C9-B4B6-99018CDC15D1}"/>
                  </c:ext>
                </c:extLst>
              </c15:ser>
            </c15:filteredBarSeries>
          </c:ext>
        </c:extLst>
      </c:barChart>
      <c:catAx>
        <c:axId val="98952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9533023"/>
        <c:crosses val="autoZero"/>
        <c:auto val="1"/>
        <c:lblAlgn val="ctr"/>
        <c:lblOffset val="100"/>
        <c:noMultiLvlLbl val="0"/>
      </c:catAx>
      <c:valAx>
        <c:axId val="9895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95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'ESP $'!$B$43</c:f>
              <c:strCache>
                <c:ptCount val="1"/>
                <c:pt idx="0">
                  <c:v>Valor Libro de la Acción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'ESP $'!$C$4:$F$4</c:f>
              <c:strCache>
                <c:ptCount val="4"/>
                <c:pt idx="0">
                  <c:v> 31.12.2021 </c:v>
                </c:pt>
                <c:pt idx="1">
                  <c:v>31.12.2022</c:v>
                </c:pt>
                <c:pt idx="2">
                  <c:v>31.12.2023</c:v>
                </c:pt>
                <c:pt idx="3">
                  <c:v> 31.12.2024 </c:v>
                </c:pt>
              </c:strCache>
            </c:strRef>
          </c:cat>
          <c:val>
            <c:numRef>
              <c:f>'ESP $'!$C$43:$F$43</c:f>
              <c:numCache>
                <c:formatCode>#,##0.00</c:formatCode>
                <c:ptCount val="4"/>
                <c:pt idx="0">
                  <c:v>64239.014786800006</c:v>
                </c:pt>
                <c:pt idx="1">
                  <c:v>130914.51359059998</c:v>
                </c:pt>
                <c:pt idx="2">
                  <c:v>230454.73155666667</c:v>
                </c:pt>
                <c:pt idx="3">
                  <c:v>233519.83826666666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8-45DF-9784-3BBBB4C5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837776"/>
        <c:axId val="1121834416"/>
      </c:lineChart>
      <c:catAx>
        <c:axId val="112183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34416"/>
        <c:crosses val="autoZero"/>
        <c:auto val="1"/>
        <c:lblAlgn val="ctr"/>
        <c:lblOffset val="100"/>
        <c:noMultiLvlLbl val="0"/>
      </c:catAx>
      <c:valAx>
        <c:axId val="112183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3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EVOLUCION</a:t>
            </a:r>
            <a:r>
              <a:rPr lang="en-US" baseline="0"/>
              <a:t> PN + 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'ESP $'!$O$42</c:f>
              <c:strCache>
                <c:ptCount val="1"/>
                <c:pt idx="0">
                  <c:v>TOTAL PATRIMONIO NETO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'ESP $'!$N$43:$N$46</c:f>
              <c:strCache>
                <c:ptCount val="4"/>
                <c:pt idx="0">
                  <c:v> 31.12.2021 </c:v>
                </c:pt>
                <c:pt idx="1">
                  <c:v>31.12.2022</c:v>
                </c:pt>
                <c:pt idx="2">
                  <c:v>31.12.2023</c:v>
                </c:pt>
                <c:pt idx="3">
                  <c:v> 31.12.2024 </c:v>
                </c:pt>
              </c:strCache>
            </c:strRef>
          </c:cat>
          <c:val>
            <c:numRef>
              <c:f>'ESP $'!$O$43:$O$46</c:f>
              <c:numCache>
                <c:formatCode>_(* #,##0_);_(* \(#,##0\);_(* "-"??_);_(@_)</c:formatCode>
                <c:ptCount val="4"/>
                <c:pt idx="0">
                  <c:v>192717044.36040002</c:v>
                </c:pt>
                <c:pt idx="1">
                  <c:v>392743540.77179992</c:v>
                </c:pt>
                <c:pt idx="2">
                  <c:v>691364194.66999996</c:v>
                </c:pt>
                <c:pt idx="3">
                  <c:v>700559514.79999995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1-4C21-ABEA-26653359AE80}"/>
            </c:ext>
          </c:extLst>
        </c:ser>
        <c:ser>
          <c:idx val="1"/>
          <c:order val="1"/>
          <c:tx>
            <c:strRef>
              <c:f>'ESP $'!$P$42</c:f>
              <c:strCache>
                <c:ptCount val="1"/>
                <c:pt idx="0">
                  <c:v>TOTAL PASIVO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'ESP $'!$N$43:$N$46</c:f>
              <c:strCache>
                <c:ptCount val="4"/>
                <c:pt idx="0">
                  <c:v> 31.12.2021 </c:v>
                </c:pt>
                <c:pt idx="1">
                  <c:v>31.12.2022</c:v>
                </c:pt>
                <c:pt idx="2">
                  <c:v>31.12.2023</c:v>
                </c:pt>
                <c:pt idx="3">
                  <c:v> 31.12.2024 </c:v>
                </c:pt>
              </c:strCache>
            </c:strRef>
          </c:cat>
          <c:val>
            <c:numRef>
              <c:f>'ESP $'!$P$43:$P$46</c:f>
              <c:numCache>
                <c:formatCode>_(* #,##0_);_(* \(#,##0\);_(* "-"??_);_(@_)</c:formatCode>
                <c:ptCount val="4"/>
                <c:pt idx="0">
                  <c:v>189493300.78979999</c:v>
                </c:pt>
                <c:pt idx="1">
                  <c:v>364279330.25779992</c:v>
                </c:pt>
                <c:pt idx="2">
                  <c:v>310012844.58000004</c:v>
                </c:pt>
                <c:pt idx="3">
                  <c:v>262491217.73999998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1-4C21-ABEA-26653359A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9546496"/>
        <c:axId val="1299549376"/>
      </c:barChart>
      <c:catAx>
        <c:axId val="129954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549376"/>
        <c:crosses val="autoZero"/>
        <c:auto val="1"/>
        <c:lblAlgn val="ctr"/>
        <c:lblOffset val="100"/>
        <c:noMultiLvlLbl val="0"/>
      </c:catAx>
      <c:valAx>
        <c:axId val="129954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5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'ER $'!$B$7</c:f>
              <c:strCache>
                <c:ptCount val="1"/>
                <c:pt idx="0">
                  <c:v>Ingresos por ventas y servicios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 $'!$C$4:$F$4</c:f>
              <c:strCache>
                <c:ptCount val="4"/>
                <c:pt idx="0">
                  <c:v>31.12.2021</c:v>
                </c:pt>
                <c:pt idx="1">
                  <c:v>31.12.2022</c:v>
                </c:pt>
                <c:pt idx="2">
                  <c:v>31.12.2023</c:v>
                </c:pt>
                <c:pt idx="3">
                  <c:v>31.12.2024</c:v>
                </c:pt>
              </c:strCache>
            </c:strRef>
          </c:cat>
          <c:val>
            <c:numRef>
              <c:f>'ER $'!$C$7:$F$7</c:f>
              <c:numCache>
                <c:formatCode>_(* #,##0_);_(* \(#,##0\);_(* "-"??_);_(@_)</c:formatCode>
                <c:ptCount val="4"/>
                <c:pt idx="0">
                  <c:v>732841914.47040009</c:v>
                </c:pt>
                <c:pt idx="1">
                  <c:v>1649366946.2357996</c:v>
                </c:pt>
                <c:pt idx="2">
                  <c:v>2417205313</c:v>
                </c:pt>
                <c:pt idx="3">
                  <c:v>1674689775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0-448D-BA92-55CAA761B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534351"/>
        <c:axId val="1596534831"/>
      </c:barChart>
      <c:catAx>
        <c:axId val="159653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534831"/>
        <c:crosses val="autoZero"/>
        <c:auto val="1"/>
        <c:lblAlgn val="ctr"/>
        <c:lblOffset val="100"/>
        <c:noMultiLvlLbl val="0"/>
      </c:catAx>
      <c:valAx>
        <c:axId val="159653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53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'ER $'!$B$20</c:f>
              <c:strCache>
                <c:ptCount val="1"/>
                <c:pt idx="0">
                  <c:v>RESULTADO INTEGRAL DEL EJERCICIO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'ER $'!$C$4:$F$4</c:f>
              <c:strCache>
                <c:ptCount val="4"/>
                <c:pt idx="0">
                  <c:v>31.12.2021</c:v>
                </c:pt>
                <c:pt idx="1">
                  <c:v>31.12.2022</c:v>
                </c:pt>
                <c:pt idx="2">
                  <c:v>31.12.2023</c:v>
                </c:pt>
                <c:pt idx="3">
                  <c:v>31.12.2024</c:v>
                </c:pt>
              </c:strCache>
            </c:strRef>
          </c:cat>
          <c:val>
            <c:numRef>
              <c:f>'ER $'!$C$20:$F$20</c:f>
              <c:numCache>
                <c:formatCode>#,##0</c:formatCode>
                <c:ptCount val="4"/>
                <c:pt idx="0" formatCode="_(* #,##0_);_(* \(#,##0\);_(* &quot;-&quot;??_);_(@_)">
                  <c:v>48300212.107000001</c:v>
                </c:pt>
                <c:pt idx="1">
                  <c:v>213008129.74679998</c:v>
                </c:pt>
                <c:pt idx="2" formatCode="_(* #,##0_);_(* \(#,##0\);_(* &quot;-&quot;??_);_(@_)">
                  <c:v>303814749</c:v>
                </c:pt>
                <c:pt idx="3">
                  <c:v>94227753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4-40B0-916E-E4FF0587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983216"/>
        <c:axId val="1172987056"/>
      </c:lineChart>
      <c:catAx>
        <c:axId val="117298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87056"/>
        <c:crosses val="autoZero"/>
        <c:auto val="1"/>
        <c:lblAlgn val="ctr"/>
        <c:lblOffset val="100"/>
        <c:noMultiLvlLbl val="0"/>
      </c:catAx>
      <c:valAx>
        <c:axId val="117298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8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'ER $'!$B$8</c:f>
              <c:strCache>
                <c:ptCount val="1"/>
                <c:pt idx="0">
                  <c:v>Costos operativos (Anexo II)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'ER $'!$C$8:$F$8</c:f>
              <c:numCache>
                <c:formatCode>_(* #,##0_);_(* \(#,##0\);_(* "-"??_);_(@_)</c:formatCode>
                <c:ptCount val="4"/>
                <c:pt idx="0">
                  <c:v>-690869893.61810005</c:v>
                </c:pt>
                <c:pt idx="1">
                  <c:v>-1248346831.5031998</c:v>
                </c:pt>
                <c:pt idx="2">
                  <c:v>-1272633202</c:v>
                </c:pt>
                <c:pt idx="3">
                  <c:v>-983362892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D-4A4E-AFC8-9357E770B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326512"/>
        <c:axId val="1346330832"/>
      </c:barChart>
      <c:catAx>
        <c:axId val="134632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30832"/>
        <c:crosses val="autoZero"/>
        <c:auto val="1"/>
        <c:lblAlgn val="ctr"/>
        <c:lblOffset val="100"/>
        <c:noMultiLvlLbl val="0"/>
      </c:catAx>
      <c:valAx>
        <c:axId val="13463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2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COSTOS!$H$2</c:f>
              <c:strCache>
                <c:ptCount val="1"/>
                <c:pt idx="0">
                  <c:v>VENTAS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COSTOS!$I$1:$O$1</c15:sqref>
                  </c15:fullRef>
                </c:ext>
              </c:extLst>
              <c:f>(COSTOS!$I$1,COSTOS!$K$1,COSTOS!$M$1,COSTOS!$O$1)</c:f>
              <c:strCache>
                <c:ptCount val="4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COSTOS!$I$2:$O$2</c15:sqref>
                  </c15:fullRef>
                </c:ext>
              </c:extLst>
              <c:f>(COSTOS!$I$2,COSTOS!$K$2,COSTOS!$M$2,COSTOS!$O$2)</c:f>
              <c:numCache>
                <c:formatCode>0%</c:formatCode>
                <c:ptCount val="4"/>
                <c:pt idx="0" formatCode="_-&quot;$&quot;\ * #,##0.00_-;\-&quot;$&quot;\ * #,##0.00_-;_-&quot;$&quot;\ * &quot;-&quot;??_-;_-@_-">
                  <c:v>1674689775.47</c:v>
                </c:pt>
                <c:pt idx="1" formatCode="_-&quot;$&quot;\ * #,##0.00_-;\-&quot;$&quot;\ * #,##0.00_-;_-&quot;$&quot;\ * &quot;-&quot;??_-;_-@_-">
                  <c:v>2417205313.3400002</c:v>
                </c:pt>
                <c:pt idx="2" formatCode="_-&quot;$&quot;\ * #,##0.00_-;\-&quot;$&quot;\ * #,##0.00_-;_-&quot;$&quot;\ * &quot;-&quot;??_-;_-@_-">
                  <c:v>1649366946.2357996</c:v>
                </c:pt>
                <c:pt idx="3" formatCode="_-&quot;$&quot;\ * #,##0.00_-;\-&quot;$&quot;\ * #,##0.00_-;_-&quot;$&quot;\ * &quot;-&quot;??_-;_-@_-">
                  <c:v>732841914.47040009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C-4DC3-9BCF-4E2B316B5651}"/>
            </c:ext>
          </c:extLst>
        </c:ser>
        <c:ser>
          <c:idx val="1"/>
          <c:order val="1"/>
          <c:tx>
            <c:strRef>
              <c:f>COSTOS!$H$3</c:f>
              <c:strCache>
                <c:ptCount val="1"/>
                <c:pt idx="0">
                  <c:v>COSTO OPERAT.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COSTOS!$I$1:$O$1</c15:sqref>
                  </c15:fullRef>
                </c:ext>
              </c:extLst>
              <c:f>(COSTOS!$I$1,COSTOS!$K$1,COSTOS!$M$1,COSTOS!$O$1)</c:f>
              <c:strCache>
                <c:ptCount val="4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COSTOS!$I$3:$O$3</c15:sqref>
                  </c15:fullRef>
                </c:ext>
              </c:extLst>
              <c:f>(COSTOS!$I$3,COSTOS!$K$3,COSTOS!$M$3,COSTOS!$O$3)</c:f>
              <c:numCache>
                <c:formatCode>0%</c:formatCode>
                <c:ptCount val="4"/>
                <c:pt idx="0" formatCode="_-&quot;$&quot;\ * #,##0.00_-;\-&quot;$&quot;\ * #,##0.00_-;_-&quot;$&quot;\ * &quot;-&quot;??_-;_-@_-">
                  <c:v>1026101159.0599997</c:v>
                </c:pt>
                <c:pt idx="1" formatCode="_-&quot;$&quot;\ * #,##0.00_-;\-&quot;$&quot;\ * #,##0.00_-;_-&quot;$&quot;\ * &quot;-&quot;??_-;_-@_-">
                  <c:v>1327160463.6099999</c:v>
                </c:pt>
                <c:pt idx="2" formatCode="_-&quot;$&quot;\ * #,##0.00_-;\-&quot;$&quot;\ * #,##0.00_-;_-&quot;$&quot;\ * &quot;-&quot;??_-;_-@_-">
                  <c:v>1279703525.4706059</c:v>
                </c:pt>
                <c:pt idx="3" formatCode="_-&quot;$&quot;\ * #,##0.00_-;\-&quot;$&quot;\ * #,##0.00_-;_-&quot;$&quot;\ * &quot;-&quot;??_-;_-@_-">
                  <c:v>628547196.29700005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C-4DC3-9BCF-4E2B316B5651}"/>
            </c:ext>
          </c:extLst>
        </c:ser>
        <c:ser>
          <c:idx val="2"/>
          <c:order val="2"/>
          <c:tx>
            <c:strRef>
              <c:f>COSTOS!$H$4</c:f>
              <c:strCache>
                <c:ptCount val="1"/>
                <c:pt idx="0">
                  <c:v>GASTOS COMERC.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COSTOS!$I$1:$O$1</c15:sqref>
                  </c15:fullRef>
                </c:ext>
              </c:extLst>
              <c:f>(COSTOS!$I$1,COSTOS!$K$1,COSTOS!$M$1,COSTOS!$O$1)</c:f>
              <c:strCache>
                <c:ptCount val="4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COSTOS!$I$4:$O$4</c15:sqref>
                  </c15:fullRef>
                </c:ext>
              </c:extLst>
              <c:f>(COSTOS!$I$4,COSTOS!$K$4,COSTOS!$M$4,COSTOS!$O$4)</c:f>
              <c:numCache>
                <c:formatCode>0%</c:formatCode>
                <c:ptCount val="4"/>
                <c:pt idx="0" formatCode="_-&quot;$&quot;\ * #,##0.00_-;\-&quot;$&quot;\ * #,##0.00_-;_-&quot;$&quot;\ * &quot;-&quot;??_-;_-@_-">
                  <c:v>643876.51</c:v>
                </c:pt>
                <c:pt idx="1" formatCode="_-&quot;$&quot;\ * #,##0.00_-;\-&quot;$&quot;\ * #,##0.00_-;_-&quot;$&quot;\ * &quot;-&quot;??_-;_-@_-">
                  <c:v>608426.13</c:v>
                </c:pt>
                <c:pt idx="2" formatCode="_-&quot;$&quot;\ * #,##0.00_-;\-&quot;$&quot;\ * #,##0.00_-;_-&quot;$&quot;\ * &quot;-&quot;??_-;_-@_-">
                  <c:v>7211380.5202501453</c:v>
                </c:pt>
                <c:pt idx="3" formatCode="_-&quot;$&quot;\ * #,##0.00_-;\-&quot;$&quot;\ * #,##0.00_-;_-&quot;$&quot;\ * &quot;-&quot;??_-;_-@_-">
                  <c:v>740402.44200000004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2C-4DC3-9BCF-4E2B316B5651}"/>
            </c:ext>
          </c:extLst>
        </c:ser>
        <c:ser>
          <c:idx val="3"/>
          <c:order val="3"/>
          <c:tx>
            <c:strRef>
              <c:f>COSTOS!$H$5</c:f>
              <c:strCache>
                <c:ptCount val="1"/>
                <c:pt idx="0">
                  <c:v>GASTOS ADMINIST.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COSTOS!$I$1:$O$1</c15:sqref>
                  </c15:fullRef>
                </c:ext>
              </c:extLst>
              <c:f>(COSTOS!$I$1,COSTOS!$K$1,COSTOS!$M$1,COSTOS!$O$1)</c:f>
              <c:strCache>
                <c:ptCount val="4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COSTOS!$I$5:$O$5</c15:sqref>
                  </c15:fullRef>
                </c:ext>
              </c:extLst>
              <c:f>(COSTOS!$I$5,COSTOS!$K$5,COSTOS!$M$5,COSTOS!$O$5)</c:f>
              <c:numCache>
                <c:formatCode>0%</c:formatCode>
                <c:ptCount val="4"/>
                <c:pt idx="0" formatCode="_-&quot;$&quot;\ * #,##0.00_-;\-&quot;$&quot;\ * #,##0.00_-;_-&quot;$&quot;\ * &quot;-&quot;??_-;_-@_-">
                  <c:v>152236168.5</c:v>
                </c:pt>
                <c:pt idx="1" formatCode="_-&quot;$&quot;\ * #,##0.00_-;\-&quot;$&quot;\ * #,##0.00_-;_-&quot;$&quot;\ * &quot;-&quot;??_-;_-@_-">
                  <c:v>188463889.25513145</c:v>
                </c:pt>
                <c:pt idx="2" formatCode="_-&quot;$&quot;\ * #,##0.00_-;\-&quot;$&quot;\ * #,##0.00_-;_-&quot;$&quot;\ * &quot;-&quot;??_-;_-@_-">
                  <c:v>101207029.92552324</c:v>
                </c:pt>
                <c:pt idx="3" formatCode="_-&quot;$&quot;\ * #,##0.00_-;\-&quot;$&quot;\ * #,##0.00_-;_-&quot;$&quot;\ * &quot;-&quot;??_-;_-@_-">
                  <c:v>44085422.9406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2C-4DC3-9BCF-4E2B316B5651}"/>
            </c:ext>
          </c:extLst>
        </c:ser>
        <c:ser>
          <c:idx val="4"/>
          <c:order val="4"/>
          <c:tx>
            <c:strRef>
              <c:f>COSTOS!$H$6</c:f>
              <c:strCache>
                <c:ptCount val="1"/>
                <c:pt idx="0">
                  <c:v>GASTOS FINANC. Y OTROS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COSTOS!$I$1:$O$1</c15:sqref>
                  </c15:fullRef>
                </c:ext>
              </c:extLst>
              <c:f>(COSTOS!$I$1,COSTOS!$K$1,COSTOS!$M$1,COSTOS!$O$1)</c:f>
              <c:strCache>
                <c:ptCount val="4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COSTOS!$I$6:$O$6</c15:sqref>
                  </c15:fullRef>
                </c:ext>
              </c:extLst>
              <c:f>(COSTOS!$I$6,COSTOS!$K$6,COSTOS!$M$6,COSTOS!$O$6)</c:f>
              <c:numCache>
                <c:formatCode>0%</c:formatCode>
                <c:ptCount val="4"/>
                <c:pt idx="0" formatCode="_-&quot;$&quot;\ * #,##0.00_-;\-&quot;$&quot;\ * #,##0.00_-;_-&quot;$&quot;\ * &quot;-&quot;??_-;_-@_-">
                  <c:v>401210536.20999998</c:v>
                </c:pt>
                <c:pt idx="1" formatCode="_-&quot;$&quot;\ * #,##0.00_-;\-&quot;$&quot;\ * #,##0.00_-;_-&quot;$&quot;\ * &quot;-&quot;??_-;_-@_-">
                  <c:v>540757210.34000003</c:v>
                </c:pt>
                <c:pt idx="2" formatCode="_-&quot;$&quot;\ * #,##0.00_-;\-&quot;$&quot;\ * #,##0.00_-;_-&quot;$&quot;\ * &quot;-&quot;??_-;_-@_-">
                  <c:v>-38583924.153215602</c:v>
                </c:pt>
                <c:pt idx="3" formatCode="_-&quot;$&quot;\ * #,##0.00_-;\-&quot;$&quot;\ * #,##0.00_-;_-&quot;$&quot;\ * &quot;-&quot;??_-;_-@_-">
                  <c:v>-50811377.662199989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2C-4DC3-9BCF-4E2B316B5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0057983"/>
        <c:axId val="630057151"/>
      </c:barChart>
      <c:catAx>
        <c:axId val="63005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0057151"/>
        <c:crosses val="autoZero"/>
        <c:auto val="1"/>
        <c:lblAlgn val="ctr"/>
        <c:lblOffset val="100"/>
        <c:noMultiLvlLbl val="0"/>
      </c:catAx>
      <c:valAx>
        <c:axId val="63005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.00_-;\-&quot;$&quot;\ * #,##0.0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005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ratio!$L$7:$O$8</c:f>
              <c:multiLvlStrCache>
                <c:ptCount val="4"/>
                <c:lvl>
                  <c:pt idx="0">
                    <c:v>2024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2021</c:v>
                  </c:pt>
                </c:lvl>
                <c:lvl>
                  <c:pt idx="0">
                    <c:v>LIQUIDEZ CORRIENTE</c:v>
                  </c:pt>
                </c:lvl>
              </c:multiLvlStrCache>
            </c:multiLvlStrRef>
          </c:cat>
          <c:val>
            <c:numRef>
              <c:f>ratio!$L$9:$O$9</c:f>
              <c:numCache>
                <c:formatCode>0.00</c:formatCode>
                <c:ptCount val="4"/>
                <c:pt idx="0">
                  <c:v>3.3977701819853654</c:v>
                </c:pt>
                <c:pt idx="1">
                  <c:v>2.4798170445857597</c:v>
                </c:pt>
                <c:pt idx="2">
                  <c:v>1.5489679741369282</c:v>
                </c:pt>
                <c:pt idx="3">
                  <c:v>1.0493856762640992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B-41A4-9AEB-C28BA7535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2720127"/>
        <c:axId val="632720959"/>
      </c:barChart>
      <c:catAx>
        <c:axId val="6327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2720959"/>
        <c:crosses val="autoZero"/>
        <c:auto val="1"/>
        <c:lblAlgn val="ctr"/>
        <c:lblOffset val="100"/>
        <c:noMultiLvlLbl val="0"/>
      </c:catAx>
      <c:valAx>
        <c:axId val="6327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272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ratio!$L$12:$O$13</c:f>
              <c:multiLvlStrCache>
                <c:ptCount val="4"/>
                <c:lvl>
                  <c:pt idx="0">
                    <c:v>2024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2021</c:v>
                  </c:pt>
                </c:lvl>
                <c:lvl>
                  <c:pt idx="0">
                    <c:v>INMOVILIZACION</c:v>
                  </c:pt>
                </c:lvl>
              </c:multiLvlStrCache>
            </c:multiLvlStrRef>
          </c:cat>
          <c:val>
            <c:numRef>
              <c:f>ratio!$L$14:$O$14</c:f>
              <c:numCache>
                <c:formatCode>0.00</c:formatCode>
                <c:ptCount val="4"/>
                <c:pt idx="0">
                  <c:v>0.10158437415601569</c:v>
                </c:pt>
                <c:pt idx="1">
                  <c:v>0.33643903605830339</c:v>
                </c:pt>
                <c:pt idx="2">
                  <c:v>0.51831069199245849</c:v>
                </c:pt>
                <c:pt idx="3">
                  <c:v>1.0402666983081572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F-4893-BF09-066D8A76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1119151"/>
        <c:axId val="641119567"/>
      </c:barChart>
      <c:catAx>
        <c:axId val="64111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1119567"/>
        <c:crosses val="autoZero"/>
        <c:auto val="1"/>
        <c:lblAlgn val="ctr"/>
        <c:lblOffset val="100"/>
        <c:noMultiLvlLbl val="0"/>
      </c:catAx>
      <c:valAx>
        <c:axId val="64111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111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ratio!$L$3:$O$4</c:f>
              <c:multiLvlStrCache>
                <c:ptCount val="4"/>
                <c:lvl>
                  <c:pt idx="0">
                    <c:v>2024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2021</c:v>
                  </c:pt>
                </c:lvl>
                <c:lvl>
                  <c:pt idx="0">
                    <c:v>SOLVENCIA</c:v>
                  </c:pt>
                </c:lvl>
              </c:multiLvlStrCache>
            </c:multiLvlStrRef>
          </c:cat>
          <c:val>
            <c:numRef>
              <c:f>ratio!$L$5:$O$5</c:f>
              <c:numCache>
                <c:formatCode>0.00</c:formatCode>
                <c:ptCount val="4"/>
                <c:pt idx="0">
                  <c:v>3.6688874425273559</c:v>
                </c:pt>
                <c:pt idx="1">
                  <c:v>3.2301146767213735</c:v>
                </c:pt>
                <c:pt idx="2">
                  <c:v>2.078138417828582</c:v>
                </c:pt>
                <c:pt idx="3">
                  <c:v>2.0170124408470564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3-4757-AEE3-96E005294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9692783"/>
        <c:axId val="569693199"/>
      </c:barChart>
      <c:catAx>
        <c:axId val="56969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9693199"/>
        <c:crosses val="autoZero"/>
        <c:auto val="1"/>
        <c:lblAlgn val="ctr"/>
        <c:lblOffset val="100"/>
        <c:noMultiLvlLbl val="0"/>
      </c:catAx>
      <c:valAx>
        <c:axId val="5696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969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ratio!$Q$3:$T$4</c:f>
              <c:multiLvlStrCache>
                <c:ptCount val="4"/>
                <c:lvl>
                  <c:pt idx="0">
                    <c:v>2024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2021</c:v>
                  </c:pt>
                </c:lvl>
                <c:lvl>
                  <c:pt idx="0">
                    <c:v>ENDEUDAMIENTO</c:v>
                  </c:pt>
                </c:lvl>
              </c:multiLvlStrCache>
            </c:multiLvlStrRef>
          </c:cat>
          <c:val>
            <c:numRef>
              <c:f>ratio!$Q$5:$T$5</c:f>
              <c:numCache>
                <c:formatCode>0.00</c:formatCode>
                <c:ptCount val="4"/>
                <c:pt idx="0">
                  <c:v>0.37468796325596637</c:v>
                </c:pt>
                <c:pt idx="1">
                  <c:v>0.44840743412807843</c:v>
                </c:pt>
                <c:pt idx="2">
                  <c:v>0.92752468835499247</c:v>
                </c:pt>
                <c:pt idx="3">
                  <c:v>0.98327214086694226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5-4DB1-AD24-962044A60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1119983"/>
        <c:axId val="641120399"/>
      </c:barChart>
      <c:catAx>
        <c:axId val="6411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1120399"/>
        <c:crosses val="autoZero"/>
        <c:auto val="1"/>
        <c:lblAlgn val="ctr"/>
        <c:lblOffset val="100"/>
        <c:noMultiLvlLbl val="0"/>
      </c:catAx>
      <c:valAx>
        <c:axId val="64112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111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ratio!$G$12:$J$13</c:f>
              <c:multiLvlStrCache>
                <c:ptCount val="4"/>
                <c:lvl>
                  <c:pt idx="0">
                    <c:v>2024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2021</c:v>
                  </c:pt>
                </c:lvl>
                <c:lvl>
                  <c:pt idx="0">
                    <c:v>RENTABILIDAD NETA</c:v>
                  </c:pt>
                </c:lvl>
              </c:multiLvlStrCache>
            </c:multiLvlStrRef>
          </c:cat>
          <c:val>
            <c:numRef>
              <c:f>ratio!$G$14:$J$14</c:f>
              <c:numCache>
                <c:formatCode>0%</c:formatCode>
                <c:ptCount val="4"/>
                <c:pt idx="0">
                  <c:v>5.6265794063261654E-2</c:v>
                </c:pt>
                <c:pt idx="1">
                  <c:v>0.12568843340118871</c:v>
                </c:pt>
                <c:pt idx="2">
                  <c:v>0.12914538528429292</c:v>
                </c:pt>
                <c:pt idx="3">
                  <c:v>6.5908091708844083E-2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D-4875-8D02-B9B64EEF2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8188975"/>
        <c:axId val="568190223"/>
      </c:barChart>
      <c:catAx>
        <c:axId val="56818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8190223"/>
        <c:crosses val="autoZero"/>
        <c:auto val="1"/>
        <c:lblAlgn val="ctr"/>
        <c:lblOffset val="100"/>
        <c:noMultiLvlLbl val="0"/>
      </c:catAx>
      <c:valAx>
        <c:axId val="56819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818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ratio!$B$12:$E$13</c:f>
              <c:multiLvlStrCache>
                <c:ptCount val="4"/>
                <c:lvl>
                  <c:pt idx="0">
                    <c:v>2024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2021</c:v>
                  </c:pt>
                </c:lvl>
                <c:lvl>
                  <c:pt idx="0">
                    <c:v>EBITDA</c:v>
                  </c:pt>
                </c:lvl>
              </c:multiLvlStrCache>
            </c:multiLvlStrRef>
          </c:cat>
          <c:val>
            <c:numRef>
              <c:f>ratio!$B$14:$E$14</c:f>
              <c:numCache>
                <c:formatCode>0%</c:formatCode>
                <c:ptCount val="4"/>
                <c:pt idx="0">
                  <c:v>0.34075096081601142</c:v>
                </c:pt>
                <c:pt idx="1">
                  <c:v>0.40777095277715036</c:v>
                </c:pt>
                <c:pt idx="2">
                  <c:v>0.17141466469566236</c:v>
                </c:pt>
                <c:pt idx="3">
                  <c:v>1.2773037308959883E-2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E-4678-9C02-296FB5C0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48278351"/>
        <c:axId val="748280431"/>
      </c:barChart>
      <c:catAx>
        <c:axId val="74827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8280431"/>
        <c:crosses val="autoZero"/>
        <c:auto val="1"/>
        <c:lblAlgn val="ctr"/>
        <c:lblOffset val="100"/>
        <c:noMultiLvlLbl val="0"/>
      </c:catAx>
      <c:valAx>
        <c:axId val="74828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827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5</xdr:row>
      <xdr:rowOff>41910</xdr:rowOff>
    </xdr:from>
    <xdr:to>
      <xdr:col>6</xdr:col>
      <xdr:colOff>373380</xdr:colOff>
      <xdr:row>26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A1649F-53A1-6C66-3B05-C805ADBED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891540</xdr:colOff>
      <xdr:row>5</xdr:row>
      <xdr:rowOff>41910</xdr:rowOff>
    </xdr:from>
    <xdr:to>
      <xdr:col>13</xdr:col>
      <xdr:colOff>0</xdr:colOff>
      <xdr:row>26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6661BB-F7B5-D012-8B3D-C51AE64D0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1219200</xdr:colOff>
      <xdr:row>44</xdr:row>
      <xdr:rowOff>19050</xdr:rowOff>
    </xdr:from>
    <xdr:to>
      <xdr:col>6</xdr:col>
      <xdr:colOff>68580</xdr:colOff>
      <xdr:row>59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7A76E-E431-33A3-C225-610274733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335280</xdr:colOff>
      <xdr:row>44</xdr:row>
      <xdr:rowOff>19050</xdr:rowOff>
    </xdr:from>
    <xdr:to>
      <xdr:col>2</xdr:col>
      <xdr:colOff>1082040</xdr:colOff>
      <xdr:row>59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40D9E2-E95E-A947-D249-E24F4038A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27</xdr:row>
      <xdr:rowOff>41910</xdr:rowOff>
    </xdr:from>
    <xdr:to>
      <xdr:col>2</xdr:col>
      <xdr:colOff>960120</xdr:colOff>
      <xdr:row>42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12499-24D7-41BE-A638-F8F0B492C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243840</xdr:colOff>
      <xdr:row>27</xdr:row>
      <xdr:rowOff>34290</xdr:rowOff>
    </xdr:from>
    <xdr:to>
      <xdr:col>13</xdr:col>
      <xdr:colOff>548640</xdr:colOff>
      <xdr:row>42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35C227-25EB-26A0-0E21-A102DC91F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1173480</xdr:colOff>
      <xdr:row>27</xdr:row>
      <xdr:rowOff>19050</xdr:rowOff>
    </xdr:from>
    <xdr:to>
      <xdr:col>6</xdr:col>
      <xdr:colOff>60960</xdr:colOff>
      <xdr:row>42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33FFEA-F51F-19B7-549E-8311504B9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88448</xdr:colOff>
      <xdr:row>3</xdr:row>
      <xdr:rowOff>212271</xdr:rowOff>
    </xdr:from>
    <xdr:to>
      <xdr:col>19</xdr:col>
      <xdr:colOff>0</xdr:colOff>
      <xdr:row>7</xdr:row>
      <xdr:rowOff>255814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8F59A77-D62C-45E0-A30C-7C958BD0CAC0}"/>
            </a:ext>
          </a:extLst>
        </xdr:cNvPr>
        <xdr:cNvCxnSpPr/>
      </xdr:nvCxnSpPr>
      <xdr:spPr>
        <a:xfrm flipH="1">
          <a:off x="9438188" y="837111"/>
          <a:ext cx="963112" cy="92746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57150</xdr:colOff>
      <xdr:row>8</xdr:row>
      <xdr:rowOff>223157</xdr:rowOff>
    </xdr:from>
    <xdr:to>
      <xdr:col>18</xdr:col>
      <xdr:colOff>481694</xdr:colOff>
      <xdr:row>8</xdr:row>
      <xdr:rowOff>223157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C0247A4-57BA-429F-85AC-F5711CBF20D1}"/>
            </a:ext>
          </a:extLst>
        </xdr:cNvPr>
        <xdr:cNvCxnSpPr/>
      </xdr:nvCxnSpPr>
      <xdr:spPr>
        <a:xfrm flipH="1">
          <a:off x="9406890" y="1990997"/>
          <a:ext cx="950324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85725</xdr:colOff>
      <xdr:row>9</xdr:row>
      <xdr:rowOff>190500</xdr:rowOff>
    </xdr:from>
    <xdr:to>
      <xdr:col>19</xdr:col>
      <xdr:colOff>0</xdr:colOff>
      <xdr:row>13</xdr:row>
      <xdr:rowOff>201387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EB8AD253-2ECC-4EB5-AB45-3A19D5F1EFBD}"/>
            </a:ext>
          </a:extLst>
        </xdr:cNvPr>
        <xdr:cNvCxnSpPr/>
      </xdr:nvCxnSpPr>
      <xdr:spPr>
        <a:xfrm flipH="1" flipV="1">
          <a:off x="9435465" y="2217420"/>
          <a:ext cx="965835" cy="89480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20410</xdr:colOff>
      <xdr:row>8</xdr:row>
      <xdr:rowOff>175532</xdr:rowOff>
    </xdr:from>
    <xdr:to>
      <xdr:col>13</xdr:col>
      <xdr:colOff>0</xdr:colOff>
      <xdr:row>13</xdr:row>
      <xdr:rowOff>142875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45885FC-7E26-4B7C-8594-4B016D9B4B5E}"/>
            </a:ext>
          </a:extLst>
        </xdr:cNvPr>
        <xdr:cNvCxnSpPr/>
      </xdr:nvCxnSpPr>
      <xdr:spPr>
        <a:xfrm flipH="1">
          <a:off x="5941150" y="1943372"/>
          <a:ext cx="1031150" cy="111034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21771</xdr:colOff>
      <xdr:row>14</xdr:row>
      <xdr:rowOff>97972</xdr:rowOff>
    </xdr:from>
    <xdr:to>
      <xdr:col>12</xdr:col>
      <xdr:colOff>532311</xdr:colOff>
      <xdr:row>18</xdr:row>
      <xdr:rowOff>163286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3729D94B-0403-4396-A631-A0C4DBDFE7CF}"/>
            </a:ext>
          </a:extLst>
        </xdr:cNvPr>
        <xdr:cNvCxnSpPr/>
      </xdr:nvCxnSpPr>
      <xdr:spPr>
        <a:xfrm flipH="1" flipV="1">
          <a:off x="5942511" y="3267892"/>
          <a:ext cx="1028700" cy="94923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20410</xdr:colOff>
      <xdr:row>13</xdr:row>
      <xdr:rowOff>219075</xdr:rowOff>
    </xdr:from>
    <xdr:to>
      <xdr:col>7</xdr:col>
      <xdr:colOff>0</xdr:colOff>
      <xdr:row>18</xdr:row>
      <xdr:rowOff>125185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15C3476C-254A-47AB-B090-C4794313EF88}"/>
            </a:ext>
          </a:extLst>
        </xdr:cNvPr>
        <xdr:cNvCxnSpPr/>
      </xdr:nvCxnSpPr>
      <xdr:spPr>
        <a:xfrm flipH="1">
          <a:off x="2512150" y="3129915"/>
          <a:ext cx="1031150" cy="104911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19</xdr:row>
      <xdr:rowOff>114300</xdr:rowOff>
    </xdr:from>
    <xdr:to>
      <xdr:col>6</xdr:col>
      <xdr:colOff>532312</xdr:colOff>
      <xdr:row>23</xdr:row>
      <xdr:rowOff>1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6E46C6C6-D6E0-47F5-A3C5-34446B8D0089}"/>
            </a:ext>
          </a:extLst>
        </xdr:cNvPr>
        <xdr:cNvCxnSpPr/>
      </xdr:nvCxnSpPr>
      <xdr:spPr>
        <a:xfrm flipH="1" flipV="1">
          <a:off x="2567940" y="4427220"/>
          <a:ext cx="974272" cy="76962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21772</xdr:colOff>
      <xdr:row>6</xdr:row>
      <xdr:rowOff>130629</xdr:rowOff>
    </xdr:from>
    <xdr:to>
      <xdr:col>15</xdr:col>
      <xdr:colOff>21772</xdr:colOff>
      <xdr:row>18</xdr:row>
      <xdr:rowOff>87086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B25054-9676-4E76-B54C-B2A222EA1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281940</xdr:colOff>
      <xdr:row>13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A2C975-695B-4421-8FA3-39B42DAD4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441960</xdr:colOff>
      <xdr:row>0</xdr:row>
      <xdr:rowOff>7620</xdr:rowOff>
    </xdr:from>
    <xdr:to>
      <xdr:col>9</xdr:col>
      <xdr:colOff>297180</xdr:colOff>
      <xdr:row>13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CA8364-247C-4D54-9BAA-9F6586A90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495300</xdr:colOff>
      <xdr:row>0</xdr:row>
      <xdr:rowOff>0</xdr:rowOff>
    </xdr:from>
    <xdr:to>
      <xdr:col>14</xdr:col>
      <xdr:colOff>457200</xdr:colOff>
      <xdr:row>13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4F26FD-EF7A-4487-B353-FA7FC6287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</xdr:row>
      <xdr:rowOff>68580</xdr:rowOff>
    </xdr:from>
    <xdr:to>
      <xdr:col>4</xdr:col>
      <xdr:colOff>266700</xdr:colOff>
      <xdr:row>27</xdr:row>
      <xdr:rowOff>129540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EC8A9A-095F-444F-B461-7BA2B77DC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457200</xdr:colOff>
      <xdr:row>13</xdr:row>
      <xdr:rowOff>106680</xdr:rowOff>
    </xdr:from>
    <xdr:to>
      <xdr:col>9</xdr:col>
      <xdr:colOff>320040</xdr:colOff>
      <xdr:row>27</xdr:row>
      <xdr:rowOff>144780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BE8E753-71AE-4626-9172-F4BD8D97C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403860</xdr:colOff>
      <xdr:row>13</xdr:row>
      <xdr:rowOff>114300</xdr:rowOff>
    </xdr:from>
    <xdr:to>
      <xdr:col>14</xdr:col>
      <xdr:colOff>487680</xdr:colOff>
      <xdr:row>27</xdr:row>
      <xdr:rowOff>83820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4F4A7A8-C870-463E-AC2A-71A086477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2364-2B3B-4F71-AFD1-4F446194C5BE}">
  <dimension ref="A2:M4"/>
  <sheetViews>
    <sheetView showGridLines="0" workbookViewId="0">
      <selection activeCell="E30" sqref="E30"/>
    </sheetView>
  </sheetViews>
  <sheetFormatPr baseColWidth="10" defaultRowHeight="14.4" x14ac:dyDescent="0.3"/>
  <cols>
    <col min="1" max="1" width="16.109375" bestFit="1" customWidth="1"/>
    <col min="2" max="7" width="15.44140625" bestFit="1" customWidth="1"/>
    <col min="8" max="9" width="16.77734375" customWidth="1"/>
    <col min="10" max="10" width="13.88671875" bestFit="1" customWidth="1"/>
    <col min="11" max="12" width="15.44140625" bestFit="1" customWidth="1"/>
    <col min="13" max="13" width="16.77734375" customWidth="1"/>
  </cols>
  <sheetData>
    <row r="2" spans="1:13" x14ac:dyDescent="0.3">
      <c r="A2" s="37" t="s">
        <v>266</v>
      </c>
      <c r="B2" s="193" t="s">
        <v>265</v>
      </c>
      <c r="C2" s="193" t="s">
        <v>264</v>
      </c>
      <c r="D2" s="193" t="s">
        <v>263</v>
      </c>
      <c r="E2" s="39" t="s">
        <v>262</v>
      </c>
      <c r="F2" s="39" t="s">
        <v>261</v>
      </c>
      <c r="G2" s="39" t="s">
        <v>260</v>
      </c>
      <c r="H2" s="39" t="s">
        <v>259</v>
      </c>
      <c r="I2" s="193" t="s">
        <v>258</v>
      </c>
      <c r="J2" s="193" t="str">
        <f>'ESP $'!C4</f>
        <v>31.12.2021</v>
      </c>
      <c r="K2" s="193" t="str">
        <f>'ESP $'!D4</f>
        <v>31.12.2022</v>
      </c>
      <c r="L2" s="193" t="str">
        <f>'ESP $'!E4</f>
        <v>31.12.2023</v>
      </c>
      <c r="M2" s="191" t="str">
        <f>'ESP $'!F4</f>
        <v>31.12.2024</v>
      </c>
    </row>
    <row r="3" spans="1:13" x14ac:dyDescent="0.3">
      <c r="A3" s="37" t="s">
        <v>139</v>
      </c>
      <c r="B3" s="194">
        <v>1029960482</v>
      </c>
      <c r="C3" s="195">
        <v>1156286375</v>
      </c>
      <c r="D3" s="194">
        <v>1002161191</v>
      </c>
      <c r="E3" s="190">
        <v>1046310986</v>
      </c>
      <c r="F3" s="190">
        <v>1395120800</v>
      </c>
      <c r="G3" s="190">
        <v>1467668602</v>
      </c>
      <c r="H3" s="190">
        <v>1239945000</v>
      </c>
      <c r="I3" s="194">
        <v>476205904</v>
      </c>
      <c r="J3" s="194">
        <f>'ER $'!C7</f>
        <v>732841914.47040009</v>
      </c>
      <c r="K3" s="194">
        <f>'ER $'!D7</f>
        <v>1649366946.2357996</v>
      </c>
      <c r="L3" s="194">
        <f>'ER $'!E7</f>
        <v>2417205313</v>
      </c>
      <c r="M3" s="192">
        <f>'ER $'!F7</f>
        <v>1674689775</v>
      </c>
    </row>
    <row r="4" spans="1:13" x14ac:dyDescent="0.3">
      <c r="A4" s="37" t="s">
        <v>267</v>
      </c>
      <c r="B4" s="195">
        <v>35846930</v>
      </c>
      <c r="C4" s="195">
        <v>70726469</v>
      </c>
      <c r="D4" s="194">
        <v>64697240</v>
      </c>
      <c r="E4" s="190">
        <v>77174187</v>
      </c>
      <c r="F4" s="190">
        <v>95452431</v>
      </c>
      <c r="G4" s="190">
        <v>66400410</v>
      </c>
      <c r="H4" s="196">
        <v>-14612526</v>
      </c>
      <c r="I4" s="194">
        <v>-72785893</v>
      </c>
      <c r="J4" s="194">
        <f>'ER $'!C20</f>
        <v>48300212.107000001</v>
      </c>
      <c r="K4" s="194">
        <f>'ER $'!D20</f>
        <v>213008129.74679998</v>
      </c>
      <c r="L4" s="194">
        <f>'ER $'!E20</f>
        <v>303814749</v>
      </c>
      <c r="M4" s="192">
        <f>'ER $'!F20</f>
        <v>94227753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C176-227E-4664-9B95-36DB702CA1EC}">
  <dimension ref="B1:P46"/>
  <sheetViews>
    <sheetView showGridLines="0" topLeftCell="A13" workbookViewId="0">
      <selection activeCell="G23" sqref="G23"/>
    </sheetView>
  </sheetViews>
  <sheetFormatPr baseColWidth="10" defaultColWidth="8.88671875" defaultRowHeight="14.4" x14ac:dyDescent="0.3"/>
  <cols>
    <col min="1" max="1" width="7.77734375" customWidth="1"/>
    <col min="2" max="2" width="55.77734375" bestFit="1" customWidth="1"/>
    <col min="3" max="3" width="20.77734375" customWidth="1"/>
    <col min="4" max="4" width="20.6640625" customWidth="1"/>
    <col min="5" max="5" width="21.21875" customWidth="1"/>
    <col min="6" max="6" width="20.77734375" customWidth="1"/>
    <col min="8" max="8" width="11.44140625" bestFit="1" customWidth="1"/>
    <col min="9" max="9" width="12.109375" customWidth="1"/>
    <col min="10" max="10" width="13.88671875" bestFit="1" customWidth="1"/>
    <col min="11" max="11" width="12.77734375" customWidth="1"/>
  </cols>
  <sheetData>
    <row r="1" spans="2:6" ht="15.6" x14ac:dyDescent="0.3">
      <c r="B1" s="104" t="s">
        <v>159</v>
      </c>
      <c r="C1" s="104"/>
      <c r="D1" s="104"/>
      <c r="E1" s="104"/>
      <c r="F1" s="104"/>
    </row>
    <row r="2" spans="2:6" ht="15.6" x14ac:dyDescent="0.3">
      <c r="B2" s="105" t="s">
        <v>184</v>
      </c>
      <c r="C2" s="105"/>
      <c r="D2" s="105"/>
      <c r="E2" s="105"/>
      <c r="F2" s="105"/>
    </row>
    <row r="3" spans="2:6" ht="18" x14ac:dyDescent="0.35">
      <c r="B3" s="93"/>
      <c r="C3" s="93"/>
      <c r="D3" s="93"/>
      <c r="E3" s="93"/>
      <c r="F3" s="93"/>
    </row>
    <row r="4" spans="2:6" ht="18" x14ac:dyDescent="0.35">
      <c r="B4" s="93"/>
      <c r="C4" s="109" t="s">
        <v>156</v>
      </c>
      <c r="D4" s="94" t="s">
        <v>157</v>
      </c>
      <c r="E4" s="94" t="s">
        <v>158</v>
      </c>
      <c r="F4" s="109" t="s">
        <v>160</v>
      </c>
    </row>
    <row r="5" spans="2:6" x14ac:dyDescent="0.3">
      <c r="B5" s="95"/>
      <c r="C5" s="110" t="s">
        <v>140</v>
      </c>
      <c r="D5" s="96" t="s">
        <v>140</v>
      </c>
      <c r="E5" s="96" t="s">
        <v>140</v>
      </c>
      <c r="F5" s="110" t="s">
        <v>140</v>
      </c>
    </row>
    <row r="6" spans="2:6" x14ac:dyDescent="0.3">
      <c r="B6" s="97" t="s">
        <v>141</v>
      </c>
      <c r="C6" s="108"/>
      <c r="D6" s="98"/>
      <c r="E6" s="98"/>
      <c r="F6" s="108"/>
    </row>
    <row r="7" spans="2:6" x14ac:dyDescent="0.3">
      <c r="B7" s="97" t="s">
        <v>142</v>
      </c>
      <c r="C7" s="108"/>
      <c r="D7" s="99"/>
      <c r="E7" s="99"/>
      <c r="F7" s="108"/>
    </row>
    <row r="8" spans="2:6" x14ac:dyDescent="0.3">
      <c r="B8" s="100" t="s">
        <v>0</v>
      </c>
      <c r="C8" s="111">
        <v>72432875.533199996</v>
      </c>
      <c r="D8" s="112">
        <v>24455708</v>
      </c>
      <c r="E8" s="112">
        <v>347421769.80000001</v>
      </c>
      <c r="F8" s="112">
        <v>432685254.39999998</v>
      </c>
    </row>
    <row r="9" spans="2:6" x14ac:dyDescent="0.3">
      <c r="B9" s="100" t="s">
        <v>1</v>
      </c>
      <c r="C9" s="111">
        <v>36881975.573100001</v>
      </c>
      <c r="D9" s="112">
        <v>428689684.63939995</v>
      </c>
      <c r="E9" s="112">
        <v>299429159.89999998</v>
      </c>
      <c r="F9" s="112">
        <v>312002468.41000003</v>
      </c>
    </row>
    <row r="10" spans="2:6" x14ac:dyDescent="0.3">
      <c r="B10" s="100" t="s">
        <v>2</v>
      </c>
      <c r="C10" s="111">
        <v>64085899.743599996</v>
      </c>
      <c r="D10" s="112">
        <v>78337427.585799992</v>
      </c>
      <c r="E10" s="112">
        <v>108171611.11</v>
      </c>
      <c r="F10" s="112">
        <v>117908902.8</v>
      </c>
    </row>
    <row r="11" spans="2:6" x14ac:dyDescent="0.3">
      <c r="B11" s="100" t="s">
        <v>4</v>
      </c>
      <c r="C11" s="111">
        <v>8332470.8558</v>
      </c>
      <c r="D11" s="112">
        <v>7698183.7727999985</v>
      </c>
      <c r="E11" s="112">
        <v>5042050.12</v>
      </c>
      <c r="F11" s="112">
        <v>29288207.059999999</v>
      </c>
    </row>
    <row r="12" spans="2:6" x14ac:dyDescent="0.3">
      <c r="B12" s="107" t="s">
        <v>3</v>
      </c>
      <c r="C12" s="113">
        <v>0</v>
      </c>
      <c r="D12" s="113">
        <v>14256233.060999999</v>
      </c>
      <c r="E12" s="113">
        <v>8710545.0999999996</v>
      </c>
      <c r="F12" s="112">
        <v>0</v>
      </c>
    </row>
    <row r="13" spans="2:6" x14ac:dyDescent="0.3">
      <c r="B13" s="97" t="s">
        <v>143</v>
      </c>
      <c r="C13" s="114">
        <f t="shared" ref="C13:E13" si="0">SUM(C8:C12)</f>
        <v>181733221.70570001</v>
      </c>
      <c r="D13" s="114">
        <f t="shared" si="0"/>
        <v>553437237.0589999</v>
      </c>
      <c r="E13" s="114">
        <f t="shared" si="0"/>
        <v>768775136.03000009</v>
      </c>
      <c r="F13" s="229">
        <f>SUM(F8:F12)</f>
        <v>891884832.66999984</v>
      </c>
    </row>
    <row r="14" spans="2:6" x14ac:dyDescent="0.3">
      <c r="B14" s="101"/>
      <c r="C14" s="112"/>
      <c r="D14" s="112"/>
      <c r="E14" s="112"/>
      <c r="F14" s="112"/>
    </row>
    <row r="15" spans="2:6" x14ac:dyDescent="0.3">
      <c r="B15" s="97" t="s">
        <v>144</v>
      </c>
      <c r="C15" s="112"/>
      <c r="D15" s="112"/>
      <c r="E15" s="112"/>
      <c r="F15" s="112"/>
    </row>
    <row r="16" spans="2:6" x14ac:dyDescent="0.3">
      <c r="B16" s="100" t="s">
        <v>161</v>
      </c>
      <c r="C16" s="111">
        <v>200477123.4445</v>
      </c>
      <c r="D16" s="112">
        <v>203563176.39299995</v>
      </c>
      <c r="E16" s="112">
        <v>232601903.22</v>
      </c>
      <c r="F16" s="112">
        <v>71165899.870000005</v>
      </c>
    </row>
    <row r="17" spans="2:6" x14ac:dyDescent="0.3">
      <c r="B17" s="97" t="s">
        <v>145</v>
      </c>
      <c r="C17" s="114">
        <f t="shared" ref="C17:E17" si="1">SUM(C16)</f>
        <v>200477123.4445</v>
      </c>
      <c r="D17" s="114">
        <f t="shared" si="1"/>
        <v>203563176.39299995</v>
      </c>
      <c r="E17" s="114">
        <f t="shared" si="1"/>
        <v>232601903.22</v>
      </c>
      <c r="F17" s="114">
        <f>SUM(F16)</f>
        <v>71165899.870000005</v>
      </c>
    </row>
    <row r="18" spans="2:6" x14ac:dyDescent="0.3">
      <c r="B18" s="101"/>
      <c r="C18" s="112"/>
      <c r="D18" s="112"/>
      <c r="E18" s="112"/>
      <c r="F18" s="112"/>
    </row>
    <row r="19" spans="2:6" x14ac:dyDescent="0.3">
      <c r="B19" s="102" t="s">
        <v>146</v>
      </c>
      <c r="C19" s="115">
        <f t="shared" ref="C19:E19" si="2">+C17+C13</f>
        <v>382210345.15020001</v>
      </c>
      <c r="D19" s="115">
        <f t="shared" si="2"/>
        <v>757000413.4519999</v>
      </c>
      <c r="E19" s="115">
        <f t="shared" si="2"/>
        <v>1001377039.2500001</v>
      </c>
      <c r="F19" s="115">
        <f>+F17+F13</f>
        <v>963050732.53999984</v>
      </c>
    </row>
    <row r="20" spans="2:6" x14ac:dyDescent="0.3">
      <c r="B20" s="101"/>
      <c r="C20" s="112"/>
      <c r="D20" s="112"/>
      <c r="E20" s="112"/>
      <c r="F20" s="112"/>
    </row>
    <row r="21" spans="2:6" x14ac:dyDescent="0.3">
      <c r="B21" s="97" t="s">
        <v>147</v>
      </c>
      <c r="C21" s="112"/>
      <c r="D21" s="112"/>
      <c r="E21" s="112"/>
      <c r="F21" s="112"/>
    </row>
    <row r="22" spans="2:6" x14ac:dyDescent="0.3">
      <c r="B22" s="97" t="s">
        <v>148</v>
      </c>
      <c r="C22" s="112"/>
      <c r="D22" s="112"/>
      <c r="E22" s="112"/>
      <c r="F22" s="112"/>
    </row>
    <row r="23" spans="2:6" x14ac:dyDescent="0.3">
      <c r="B23" s="100" t="s">
        <v>162</v>
      </c>
      <c r="C23" s="112">
        <v>0</v>
      </c>
      <c r="D23" s="112">
        <v>0</v>
      </c>
      <c r="E23" s="112">
        <v>0</v>
      </c>
      <c r="F23" s="112">
        <v>8427833.3399999999</v>
      </c>
    </row>
    <row r="24" spans="2:6" x14ac:dyDescent="0.3">
      <c r="B24" s="100" t="s">
        <v>163</v>
      </c>
      <c r="C24" s="111">
        <v>73742346.248899996</v>
      </c>
      <c r="D24" s="112">
        <v>156944237.77159998</v>
      </c>
      <c r="E24" s="112">
        <v>91250550.290000007</v>
      </c>
      <c r="F24" s="112">
        <v>110946037.73999999</v>
      </c>
    </row>
    <row r="25" spans="2:6" x14ac:dyDescent="0.3">
      <c r="B25" s="100" t="s">
        <v>164</v>
      </c>
      <c r="C25" s="111">
        <v>34592331.963</v>
      </c>
      <c r="D25" s="112">
        <v>29954525.984999996</v>
      </c>
      <c r="E25" s="112">
        <v>31472461.23</v>
      </c>
      <c r="F25" s="112">
        <v>23133829.559999999</v>
      </c>
    </row>
    <row r="26" spans="2:6" x14ac:dyDescent="0.3">
      <c r="B26" s="100" t="s">
        <v>165</v>
      </c>
      <c r="C26" s="111">
        <v>57523875.758999996</v>
      </c>
      <c r="D26" s="112">
        <v>170409911.35979998</v>
      </c>
      <c r="E26" s="112">
        <v>187289833.06</v>
      </c>
      <c r="F26" s="112">
        <v>119983517.09999999</v>
      </c>
    </row>
    <row r="27" spans="2:6" x14ac:dyDescent="0.3">
      <c r="B27" s="100" t="s">
        <v>166</v>
      </c>
      <c r="C27" s="111">
        <v>7322027.5982000008</v>
      </c>
      <c r="D27" s="112">
        <v>0</v>
      </c>
      <c r="E27" s="112">
        <v>0</v>
      </c>
      <c r="F27" s="112">
        <v>0</v>
      </c>
    </row>
    <row r="28" spans="2:6" x14ac:dyDescent="0.3">
      <c r="B28" s="103" t="s">
        <v>149</v>
      </c>
      <c r="C28" s="116">
        <f>SUM(C23:C27)</f>
        <v>173180581.56909999</v>
      </c>
      <c r="D28" s="116">
        <f t="shared" ref="D28:E28" si="3">SUM(D23:D27)</f>
        <v>357308675.11639994</v>
      </c>
      <c r="E28" s="116">
        <f t="shared" si="3"/>
        <v>310012844.58000004</v>
      </c>
      <c r="F28" s="116">
        <f>SUM(F23:F27)</f>
        <v>262491217.73999998</v>
      </c>
    </row>
    <row r="29" spans="2:6" x14ac:dyDescent="0.3">
      <c r="B29" s="101"/>
      <c r="C29" s="112"/>
      <c r="D29" s="112"/>
      <c r="E29" s="112"/>
      <c r="F29" s="112"/>
    </row>
    <row r="30" spans="2:6" x14ac:dyDescent="0.3">
      <c r="B30" s="97" t="s">
        <v>150</v>
      </c>
      <c r="C30" s="112"/>
      <c r="D30" s="112"/>
      <c r="E30" s="112"/>
      <c r="F30" s="112"/>
    </row>
    <row r="31" spans="2:6" x14ac:dyDescent="0.3">
      <c r="B31" s="106" t="s">
        <v>167</v>
      </c>
      <c r="C31" s="117">
        <v>16312719.220700001</v>
      </c>
      <c r="D31" s="112">
        <v>6970655.1413999991</v>
      </c>
      <c r="E31" s="112">
        <v>0</v>
      </c>
      <c r="F31" s="112">
        <v>0</v>
      </c>
    </row>
    <row r="32" spans="2:6" x14ac:dyDescent="0.3">
      <c r="B32" s="103" t="s">
        <v>151</v>
      </c>
      <c r="C32" s="116">
        <f t="shared" ref="C32:E32" si="4">SUM(C31)</f>
        <v>16312719.220700001</v>
      </c>
      <c r="D32" s="116">
        <f t="shared" si="4"/>
        <v>6970655.1413999991</v>
      </c>
      <c r="E32" s="116">
        <f t="shared" si="4"/>
        <v>0</v>
      </c>
      <c r="F32" s="116">
        <f>SUM(F31)</f>
        <v>0</v>
      </c>
    </row>
    <row r="33" spans="2:16" x14ac:dyDescent="0.3">
      <c r="B33" s="101"/>
      <c r="C33" s="112"/>
      <c r="D33" s="112"/>
      <c r="E33" s="112"/>
      <c r="F33" s="112"/>
    </row>
    <row r="34" spans="2:16" x14ac:dyDescent="0.3">
      <c r="B34" s="102" t="s">
        <v>152</v>
      </c>
      <c r="C34" s="115">
        <f t="shared" ref="C34:E34" si="5">+C28+C32</f>
        <v>189493300.78979999</v>
      </c>
      <c r="D34" s="115">
        <f t="shared" si="5"/>
        <v>364279330.25779992</v>
      </c>
      <c r="E34" s="115">
        <f t="shared" si="5"/>
        <v>310012844.58000004</v>
      </c>
      <c r="F34" s="115">
        <f>+F28+F32</f>
        <v>262491217.73999998</v>
      </c>
    </row>
    <row r="35" spans="2:16" x14ac:dyDescent="0.3">
      <c r="B35" s="101"/>
      <c r="C35" s="112"/>
      <c r="D35" s="112"/>
      <c r="E35" s="112"/>
      <c r="F35" s="112"/>
    </row>
    <row r="36" spans="2:16" x14ac:dyDescent="0.3">
      <c r="B36" s="97" t="s">
        <v>153</v>
      </c>
      <c r="C36" s="112"/>
      <c r="D36" s="112"/>
      <c r="E36" s="112"/>
      <c r="F36" s="112"/>
    </row>
    <row r="37" spans="2:16" x14ac:dyDescent="0.3">
      <c r="B37" s="100" t="s">
        <v>168</v>
      </c>
      <c r="C37" s="111">
        <v>192717044.36040002</v>
      </c>
      <c r="D37" s="112">
        <v>392743540.77179992</v>
      </c>
      <c r="E37" s="112">
        <v>691364194.66999996</v>
      </c>
      <c r="F37" s="112">
        <v>700559514.79999995</v>
      </c>
    </row>
    <row r="38" spans="2:16" x14ac:dyDescent="0.3">
      <c r="B38" s="102" t="s">
        <v>154</v>
      </c>
      <c r="C38" s="118">
        <f>SUM(C37)</f>
        <v>192717044.36040002</v>
      </c>
      <c r="D38" s="118">
        <f>SUM(D37)</f>
        <v>392743540.77179992</v>
      </c>
      <c r="E38" s="118">
        <f t="shared" ref="E38" si="6">SUM(E37)</f>
        <v>691364194.66999996</v>
      </c>
      <c r="F38" s="118">
        <f>SUM(F37)</f>
        <v>700559514.79999995</v>
      </c>
    </row>
    <row r="39" spans="2:16" x14ac:dyDescent="0.3">
      <c r="B39" s="102" t="s">
        <v>155</v>
      </c>
      <c r="C39" s="119">
        <f>+C34+C38</f>
        <v>382210345.15020001</v>
      </c>
      <c r="D39" s="120">
        <f>+D34+D38</f>
        <v>757022871.02959991</v>
      </c>
      <c r="E39" s="119">
        <f>+E34+E38</f>
        <v>1001377039.25</v>
      </c>
      <c r="F39" s="119">
        <f>+F34+F38</f>
        <v>963050732.53999996</v>
      </c>
    </row>
    <row r="42" spans="2:16" x14ac:dyDescent="0.3">
      <c r="B42" s="97" t="s">
        <v>169</v>
      </c>
      <c r="C42" s="122">
        <v>3000</v>
      </c>
      <c r="D42" s="122">
        <v>3000</v>
      </c>
      <c r="E42" s="122">
        <v>3000</v>
      </c>
      <c r="F42" s="122">
        <v>3000</v>
      </c>
      <c r="N42" t="s">
        <v>170</v>
      </c>
      <c r="O42" t="str">
        <f>B38</f>
        <v>TOTAL PATRIMONIO NETO</v>
      </c>
      <c r="P42" t="s">
        <v>171</v>
      </c>
    </row>
    <row r="43" spans="2:16" x14ac:dyDescent="0.3">
      <c r="B43" s="97" t="s">
        <v>185</v>
      </c>
      <c r="C43" s="123">
        <f>+C38/C42</f>
        <v>64239.014786800006</v>
      </c>
      <c r="D43" s="123">
        <f>+D38/D42</f>
        <v>130914.51359059998</v>
      </c>
      <c r="E43" s="123">
        <f t="shared" ref="E43:F43" si="7">+E38/E42</f>
        <v>230454.73155666667</v>
      </c>
      <c r="F43" s="123">
        <f t="shared" si="7"/>
        <v>233519.83826666666</v>
      </c>
      <c r="N43" s="124" t="str">
        <f>C4</f>
        <v>31.12.2021</v>
      </c>
      <c r="O43" s="125">
        <f>C38</f>
        <v>192717044.36040002</v>
      </c>
      <c r="P43" s="125">
        <f>C34</f>
        <v>189493300.78979999</v>
      </c>
    </row>
    <row r="44" spans="2:16" x14ac:dyDescent="0.3">
      <c r="N44" t="str">
        <f>D4</f>
        <v>31.12.2022</v>
      </c>
      <c r="O44" s="125">
        <f>D38</f>
        <v>392743540.77179992</v>
      </c>
      <c r="P44" s="125">
        <f>D34</f>
        <v>364279330.25779992</v>
      </c>
    </row>
    <row r="45" spans="2:16" x14ac:dyDescent="0.3">
      <c r="N45" t="str">
        <f>E4</f>
        <v>31.12.2023</v>
      </c>
      <c r="O45" s="125">
        <f>E38</f>
        <v>691364194.66999996</v>
      </c>
      <c r="P45" s="125">
        <f>E34</f>
        <v>310012844.58000004</v>
      </c>
    </row>
    <row r="46" spans="2:16" x14ac:dyDescent="0.3">
      <c r="N46" s="124" t="str">
        <f>F4</f>
        <v>31.12.2024</v>
      </c>
      <c r="O46" s="125">
        <f>F38</f>
        <v>700559514.79999995</v>
      </c>
      <c r="P46" s="125">
        <f>F34</f>
        <v>262491217.73999998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522A-927D-4572-BDB2-ABB38FAF9BAC}">
  <dimension ref="B1:F26"/>
  <sheetViews>
    <sheetView showGridLines="0" tabSelected="1" workbookViewId="0">
      <selection activeCell="G12" sqref="G12"/>
    </sheetView>
  </sheetViews>
  <sheetFormatPr baseColWidth="10" defaultColWidth="8.88671875" defaultRowHeight="14.4" x14ac:dyDescent="0.3"/>
  <cols>
    <col min="1" max="1" width="8.109375" customWidth="1"/>
    <col min="2" max="2" width="45" bestFit="1" customWidth="1"/>
    <col min="3" max="4" width="20.77734375" customWidth="1"/>
    <col min="5" max="6" width="20.6640625" customWidth="1"/>
  </cols>
  <sheetData>
    <row r="1" spans="2:6" ht="15.6" x14ac:dyDescent="0.3">
      <c r="B1" s="200" t="s">
        <v>159</v>
      </c>
      <c r="C1" s="200"/>
      <c r="D1" s="200"/>
      <c r="E1" s="200"/>
      <c r="F1" s="200"/>
    </row>
    <row r="2" spans="2:6" ht="15.6" x14ac:dyDescent="0.3">
      <c r="B2" s="201" t="s">
        <v>183</v>
      </c>
      <c r="C2" s="201"/>
      <c r="D2" s="201"/>
      <c r="E2" s="201"/>
      <c r="F2" s="201"/>
    </row>
    <row r="3" spans="2:6" ht="15.6" x14ac:dyDescent="0.3">
      <c r="B3" s="126"/>
      <c r="C3" s="126"/>
      <c r="D3" s="126"/>
      <c r="E3" s="126"/>
      <c r="F3" s="126"/>
    </row>
    <row r="4" spans="2:6" x14ac:dyDescent="0.3">
      <c r="C4" s="94" t="s">
        <v>156</v>
      </c>
      <c r="D4" s="94" t="s">
        <v>157</v>
      </c>
      <c r="E4" s="94" t="s">
        <v>158</v>
      </c>
      <c r="F4" s="94" t="s">
        <v>160</v>
      </c>
    </row>
    <row r="5" spans="2:6" x14ac:dyDescent="0.3">
      <c r="B5" s="127"/>
      <c r="C5" s="96" t="s">
        <v>140</v>
      </c>
      <c r="D5" s="96" t="s">
        <v>140</v>
      </c>
      <c r="E5" s="96" t="s">
        <v>140</v>
      </c>
      <c r="F5" s="96" t="s">
        <v>140</v>
      </c>
    </row>
    <row r="6" spans="2:6" x14ac:dyDescent="0.3">
      <c r="C6" s="128"/>
      <c r="D6" s="128"/>
      <c r="E6" s="128"/>
      <c r="F6" s="128"/>
    </row>
    <row r="7" spans="2:6" x14ac:dyDescent="0.3">
      <c r="B7" s="129" t="s">
        <v>9</v>
      </c>
      <c r="C7" s="134">
        <v>732841914.47040009</v>
      </c>
      <c r="D7" s="134">
        <v>1649366946.2357996</v>
      </c>
      <c r="E7" s="145">
        <v>2417205313</v>
      </c>
      <c r="F7" s="145">
        <v>1674689775</v>
      </c>
    </row>
    <row r="8" spans="2:6" x14ac:dyDescent="0.3">
      <c r="B8" s="129" t="s">
        <v>10</v>
      </c>
      <c r="C8" s="135">
        <v>-690869893.61810005</v>
      </c>
      <c r="D8" s="135">
        <v>-1248346831.5031998</v>
      </c>
      <c r="E8" s="146">
        <v>-1272633202</v>
      </c>
      <c r="F8" s="146">
        <v>-983362892</v>
      </c>
    </row>
    <row r="9" spans="2:6" x14ac:dyDescent="0.3">
      <c r="B9" s="130" t="s">
        <v>172</v>
      </c>
      <c r="C9" s="136">
        <v>41972020.852300003</v>
      </c>
      <c r="D9" s="136">
        <v>401020114.73259991</v>
      </c>
      <c r="E9" s="147">
        <f>E7+E8</f>
        <v>1144572111</v>
      </c>
      <c r="F9" s="137">
        <f t="shared" ref="F9" si="0">+F7+F8</f>
        <v>691326883</v>
      </c>
    </row>
    <row r="10" spans="2:6" x14ac:dyDescent="0.3">
      <c r="B10" s="131" t="s">
        <v>173</v>
      </c>
      <c r="C10" s="134"/>
      <c r="D10" s="134"/>
      <c r="E10" s="134"/>
      <c r="F10" s="134"/>
    </row>
    <row r="11" spans="2:6" x14ac:dyDescent="0.3">
      <c r="B11" s="129" t="s">
        <v>12</v>
      </c>
      <c r="C11" s="134">
        <v>-741494.48099999991</v>
      </c>
      <c r="D11" s="134">
        <v>-7219208.1465999996</v>
      </c>
      <c r="E11" s="145">
        <v>-608426</v>
      </c>
      <c r="F11" s="145">
        <v>-643876</v>
      </c>
    </row>
    <row r="12" spans="2:6" x14ac:dyDescent="0.3">
      <c r="B12" s="129" t="s">
        <v>13</v>
      </c>
      <c r="C12" s="134">
        <v>-50041287.0678</v>
      </c>
      <c r="D12" s="134">
        <v>-134294010.34719998</v>
      </c>
      <c r="E12" s="145">
        <v>-188463889</v>
      </c>
      <c r="F12" s="145">
        <v>-152236169</v>
      </c>
    </row>
    <row r="13" spans="2:6" x14ac:dyDescent="0.3">
      <c r="B13" s="130" t="s">
        <v>174</v>
      </c>
      <c r="C13" s="136">
        <f>C9+C11+C12</f>
        <v>-8810760.6964999959</v>
      </c>
      <c r="D13" s="136">
        <f>D9+D11+D12</f>
        <v>259506896.23879993</v>
      </c>
      <c r="E13" s="136">
        <f>E9+E11+E12</f>
        <v>955499796</v>
      </c>
      <c r="F13" s="136">
        <f>SUM(F9:F12)</f>
        <v>538446838</v>
      </c>
    </row>
    <row r="14" spans="2:6" x14ac:dyDescent="0.3">
      <c r="B14" s="132" t="s">
        <v>14</v>
      </c>
      <c r="C14" s="134">
        <v>56777162.0766</v>
      </c>
      <c r="D14" s="134">
        <v>38857175.955199994</v>
      </c>
      <c r="E14" s="145">
        <v>-540757210</v>
      </c>
      <c r="F14" s="145">
        <v>-401210536</v>
      </c>
    </row>
    <row r="15" spans="2:6" x14ac:dyDescent="0.3">
      <c r="B15" s="132" t="s">
        <v>15</v>
      </c>
      <c r="C15" s="135">
        <v>6959634.8415999999</v>
      </c>
      <c r="D15" s="135">
        <v>8223102.6373999994</v>
      </c>
      <c r="E15" s="146">
        <v>44638020</v>
      </c>
      <c r="F15" s="146">
        <v>18284750</v>
      </c>
    </row>
    <row r="16" spans="2:6" x14ac:dyDescent="0.3">
      <c r="B16" s="130" t="s">
        <v>175</v>
      </c>
      <c r="C16" s="136">
        <v>54926036.221700005</v>
      </c>
      <c r="D16" s="136">
        <v>306587174.83139992</v>
      </c>
      <c r="E16" s="147">
        <f>E13+E14+E15</f>
        <v>459380606</v>
      </c>
      <c r="F16" s="137">
        <f>SUM(F13:F15)</f>
        <v>155521052</v>
      </c>
    </row>
    <row r="17" spans="2:6" x14ac:dyDescent="0.3">
      <c r="B17" s="129" t="s">
        <v>176</v>
      </c>
      <c r="C17" s="135">
        <v>-6625824.1147000007</v>
      </c>
      <c r="D17" s="135">
        <v>-93579045.084599987</v>
      </c>
      <c r="E17" s="146">
        <v>-155565855</v>
      </c>
      <c r="F17" s="146">
        <v>-61293299</v>
      </c>
    </row>
    <row r="18" spans="2:6" x14ac:dyDescent="0.3">
      <c r="B18" s="130" t="s">
        <v>177</v>
      </c>
      <c r="C18" s="136">
        <v>48300212.107000001</v>
      </c>
      <c r="D18" s="148">
        <v>213008129.74679998</v>
      </c>
      <c r="E18" s="147">
        <v>303814749</v>
      </c>
      <c r="F18" s="137">
        <f>SUM(F16:F17)</f>
        <v>94227753</v>
      </c>
    </row>
    <row r="19" spans="2:6" x14ac:dyDescent="0.3">
      <c r="B19" s="130"/>
      <c r="C19" s="121"/>
      <c r="D19" s="138"/>
      <c r="E19" s="139"/>
      <c r="F19" s="138"/>
    </row>
    <row r="20" spans="2:6" ht="15" thickBot="1" x14ac:dyDescent="0.35">
      <c r="B20" s="130" t="s">
        <v>178</v>
      </c>
      <c r="C20" s="140">
        <f>C18</f>
        <v>48300212.107000001</v>
      </c>
      <c r="D20" s="141">
        <f>D18</f>
        <v>213008129.74679998</v>
      </c>
      <c r="E20" s="140">
        <f>E18</f>
        <v>303814749</v>
      </c>
      <c r="F20" s="141">
        <f>+F18</f>
        <v>94227753</v>
      </c>
    </row>
    <row r="21" spans="2:6" ht="15" thickTop="1" x14ac:dyDescent="0.3">
      <c r="B21" s="130"/>
      <c r="C21" s="139"/>
      <c r="D21" s="138"/>
      <c r="E21" s="138"/>
      <c r="F21" s="138"/>
    </row>
    <row r="22" spans="2:6" x14ac:dyDescent="0.3">
      <c r="B22" s="130"/>
      <c r="C22" s="139"/>
      <c r="D22" s="138"/>
      <c r="E22" s="138"/>
      <c r="F22" s="138"/>
    </row>
    <row r="23" spans="2:6" x14ac:dyDescent="0.3">
      <c r="B23" s="130" t="s">
        <v>179</v>
      </c>
      <c r="C23" s="139"/>
      <c r="D23" s="138"/>
      <c r="E23" s="138"/>
      <c r="F23" s="138"/>
    </row>
    <row r="24" spans="2:6" x14ac:dyDescent="0.3">
      <c r="B24" s="129" t="s">
        <v>180</v>
      </c>
      <c r="C24" s="142">
        <f>+C20</f>
        <v>48300212.107000001</v>
      </c>
      <c r="D24" s="143">
        <f t="shared" ref="D24:F24" si="1">+D20</f>
        <v>213008129.74679998</v>
      </c>
      <c r="E24" s="143">
        <f t="shared" si="1"/>
        <v>303814749</v>
      </c>
      <c r="F24" s="143">
        <f t="shared" si="1"/>
        <v>94227753</v>
      </c>
    </row>
    <row r="25" spans="2:6" x14ac:dyDescent="0.3">
      <c r="B25" s="129" t="s">
        <v>181</v>
      </c>
      <c r="C25" s="139">
        <v>3000</v>
      </c>
      <c r="D25" s="138">
        <v>3000</v>
      </c>
      <c r="E25" s="138">
        <v>3000</v>
      </c>
      <c r="F25" s="138">
        <v>3000</v>
      </c>
    </row>
    <row r="26" spans="2:6" x14ac:dyDescent="0.3">
      <c r="B26" s="130" t="s">
        <v>182</v>
      </c>
      <c r="C26" s="139">
        <f>+C24/C25</f>
        <v>16100.070702333334</v>
      </c>
      <c r="D26" s="144">
        <f>+D24/D25</f>
        <v>71002.709915599989</v>
      </c>
      <c r="E26" s="144">
        <f>+E24/E25</f>
        <v>101271.583</v>
      </c>
      <c r="F26" s="144">
        <f>+F24/F25</f>
        <v>31409.251</v>
      </c>
    </row>
  </sheetData>
  <mergeCells count="2">
    <mergeCell ref="B1:F1"/>
    <mergeCell ref="B2:F2"/>
  </mergeCells>
  <phoneticPr fontId="2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DBD3-AE0B-417C-BB4E-4073A52BEC1E}">
  <dimension ref="B1:G87"/>
  <sheetViews>
    <sheetView showGridLines="0" topLeftCell="A8" zoomScale="116" workbookViewId="0">
      <selection activeCell="K39" sqref="K39"/>
    </sheetView>
  </sheetViews>
  <sheetFormatPr baseColWidth="10" defaultColWidth="8.88671875" defaultRowHeight="14.4" x14ac:dyDescent="0.3"/>
  <cols>
    <col min="2" max="2" width="39.88671875" bestFit="1" customWidth="1"/>
    <col min="3" max="3" width="5.5546875" bestFit="1" customWidth="1"/>
    <col min="4" max="4" width="15.6640625" customWidth="1"/>
    <col min="5" max="5" width="16.44140625" customWidth="1"/>
    <col min="6" max="6" width="15.77734375" customWidth="1"/>
    <col min="7" max="7" width="16.33203125" bestFit="1" customWidth="1"/>
  </cols>
  <sheetData>
    <row r="1" spans="2:7" x14ac:dyDescent="0.3">
      <c r="B1" s="149"/>
      <c r="C1" s="150"/>
      <c r="D1" s="150"/>
      <c r="E1" s="150"/>
      <c r="F1" s="151"/>
      <c r="G1" s="150"/>
    </row>
    <row r="2" spans="2:7" x14ac:dyDescent="0.3">
      <c r="B2" s="152" t="s">
        <v>159</v>
      </c>
      <c r="C2" s="150"/>
      <c r="D2" s="150"/>
      <c r="E2" s="150"/>
      <c r="F2" s="151"/>
      <c r="G2" s="150"/>
    </row>
    <row r="3" spans="2:7" x14ac:dyDescent="0.3">
      <c r="B3" s="153" t="s">
        <v>186</v>
      </c>
      <c r="C3" s="150"/>
      <c r="D3" s="150"/>
      <c r="E3" s="150"/>
      <c r="F3" s="151"/>
      <c r="G3" s="150"/>
    </row>
    <row r="4" spans="2:7" x14ac:dyDescent="0.3">
      <c r="B4" s="154"/>
      <c r="C4" s="150"/>
      <c r="D4" s="150"/>
      <c r="E4" s="150"/>
      <c r="F4" s="151"/>
      <c r="G4" s="150"/>
    </row>
    <row r="5" spans="2:7" x14ac:dyDescent="0.3">
      <c r="B5" s="155" t="s">
        <v>187</v>
      </c>
      <c r="C5" s="156"/>
      <c r="D5" s="157">
        <v>2021</v>
      </c>
      <c r="E5" s="157">
        <v>2022</v>
      </c>
      <c r="F5" s="157">
        <v>2023</v>
      </c>
      <c r="G5" s="157">
        <v>2024</v>
      </c>
    </row>
    <row r="6" spans="2:7" x14ac:dyDescent="0.3">
      <c r="B6" s="155" t="s">
        <v>188</v>
      </c>
      <c r="C6" s="156"/>
      <c r="D6" s="157"/>
      <c r="E6" s="157"/>
      <c r="F6" s="157"/>
      <c r="G6" s="157"/>
    </row>
    <row r="7" spans="2:7" x14ac:dyDescent="0.3">
      <c r="B7" s="158" t="s">
        <v>189</v>
      </c>
      <c r="C7" s="159" t="s">
        <v>140</v>
      </c>
      <c r="D7" s="160">
        <f>'ER $'!C7/1000000</f>
        <v>732.84191447040007</v>
      </c>
      <c r="E7" s="160">
        <f>'ER $'!D7/1000000</f>
        <v>1649.3669462357996</v>
      </c>
      <c r="F7" s="160">
        <f>'ER $'!E7/1000000</f>
        <v>2417.2053129999999</v>
      </c>
      <c r="G7" s="160">
        <f>'ER $'!F7/1000000</f>
        <v>1674.6897750000001</v>
      </c>
    </row>
    <row r="8" spans="2:7" x14ac:dyDescent="0.3">
      <c r="B8" s="158" t="s">
        <v>190</v>
      </c>
      <c r="C8" s="159" t="s">
        <v>140</v>
      </c>
      <c r="D8" s="160">
        <f>'ER $'!C9/1000000</f>
        <v>41.972020852300005</v>
      </c>
      <c r="E8" s="160">
        <f>'ER $'!D9/1000000</f>
        <v>401.02011473259989</v>
      </c>
      <c r="F8" s="160">
        <f>'ER $'!E9/1000000</f>
        <v>1144.5721109999999</v>
      </c>
      <c r="G8" s="160">
        <f>'ER $'!F9/1000000</f>
        <v>691.32688299999995</v>
      </c>
    </row>
    <row r="9" spans="2:7" x14ac:dyDescent="0.3">
      <c r="B9" s="158" t="s">
        <v>191</v>
      </c>
      <c r="C9" s="159" t="s">
        <v>140</v>
      </c>
      <c r="D9" s="160">
        <f>COSTOS!B11/1000000</f>
        <v>18.171377811600003</v>
      </c>
      <c r="E9" s="160">
        <f>COSTOS!C11/1000000</f>
        <v>23.218785810318234</v>
      </c>
      <c r="F9" s="160">
        <f>COSTOS!D11/1000000</f>
        <v>30.166318539999999</v>
      </c>
      <c r="G9" s="160">
        <f>COSTOS!E11/1000000</f>
        <v>32.205312899999996</v>
      </c>
    </row>
    <row r="10" spans="2:7" x14ac:dyDescent="0.3">
      <c r="B10" s="158" t="s">
        <v>36</v>
      </c>
      <c r="C10" s="159" t="s">
        <v>140</v>
      </c>
      <c r="D10" s="160">
        <f>'ER $'!C13/1000000</f>
        <v>-8.8107606964999956</v>
      </c>
      <c r="E10" s="160">
        <f>'ER $'!D13/1000000</f>
        <v>259.50689623879992</v>
      </c>
      <c r="F10" s="160">
        <f>'ER $'!E13/1000000</f>
        <v>955.49979599999995</v>
      </c>
      <c r="G10" s="160">
        <f>'ER $'!F13/1000000</f>
        <v>538.44683799999996</v>
      </c>
    </row>
    <row r="11" spans="2:7" x14ac:dyDescent="0.3">
      <c r="B11" s="158" t="s">
        <v>37</v>
      </c>
      <c r="C11" s="159" t="s">
        <v>140</v>
      </c>
      <c r="D11" s="160">
        <f>D9+D10</f>
        <v>9.3606171151000073</v>
      </c>
      <c r="E11" s="160">
        <f t="shared" ref="E11:G11" si="0">E9+E10</f>
        <v>282.72568204911818</v>
      </c>
      <c r="F11" s="160">
        <f t="shared" si="0"/>
        <v>985.66611453999997</v>
      </c>
      <c r="G11" s="160">
        <f t="shared" si="0"/>
        <v>570.65215089999992</v>
      </c>
    </row>
    <row r="12" spans="2:7" x14ac:dyDescent="0.3">
      <c r="B12" s="158" t="s">
        <v>192</v>
      </c>
      <c r="C12" s="159" t="s">
        <v>140</v>
      </c>
      <c r="D12" s="160">
        <f>'ER $'!C20/1000000</f>
        <v>48.300212107</v>
      </c>
      <c r="E12" s="160">
        <f>'ER $'!D20/1000000</f>
        <v>213.00812974679997</v>
      </c>
      <c r="F12" s="160">
        <f>'ER $'!E20/1000000</f>
        <v>303.81474900000001</v>
      </c>
      <c r="G12" s="160">
        <f>'ER $'!F20/1000000</f>
        <v>94.227753000000007</v>
      </c>
    </row>
    <row r="13" spans="2:7" x14ac:dyDescent="0.3">
      <c r="B13" s="158" t="s">
        <v>193</v>
      </c>
      <c r="C13" s="159" t="s">
        <v>140</v>
      </c>
      <c r="D13" s="160">
        <f>(COSTOS!B24+COSTOS!B25+COSTOS!B23+COSTOS!B26+COSTOS!B27+COSTOS!B28)/1000000</f>
        <v>18.269147581200002</v>
      </c>
      <c r="E13" s="160">
        <f>(COSTOS!C24+COSTOS!C25+COSTOS!C23+COSTOS!C26+COSTOS!C27+COSTOS!C28)/1000000</f>
        <v>22.621228784556504</v>
      </c>
      <c r="F13" s="160">
        <f>(COSTOS!D24+COSTOS!D25+COSTOS!D23+COSTOS!D26+COSTOS!D27+COSTOS!D28)/1000000</f>
        <v>44.704517100000004</v>
      </c>
      <c r="G13" s="160">
        <f>(COSTOS!E24+COSTOS!E25+COSTOS!E23+COSTOS!E26+COSTOS!E27+COSTOS!E28)/1000000</f>
        <v>36.611582199999994</v>
      </c>
    </row>
    <row r="14" spans="2:7" x14ac:dyDescent="0.3">
      <c r="B14" s="158" t="s">
        <v>194</v>
      </c>
      <c r="C14" s="159" t="s">
        <v>140</v>
      </c>
      <c r="D14" s="2">
        <v>0</v>
      </c>
      <c r="E14" s="177">
        <f>5108753/1000000</f>
        <v>5.1087530000000001</v>
      </c>
      <c r="F14" s="177">
        <f>4768252/1000000</f>
        <v>4.7682520000000004</v>
      </c>
      <c r="G14" s="177">
        <f>15201251/1000000</f>
        <v>15.201250999999999</v>
      </c>
    </row>
    <row r="15" spans="2:7" x14ac:dyDescent="0.3">
      <c r="B15" s="155" t="s">
        <v>195</v>
      </c>
      <c r="C15" s="156"/>
      <c r="D15" s="157">
        <v>2021</v>
      </c>
      <c r="E15" s="157">
        <v>2022</v>
      </c>
      <c r="F15" s="157">
        <v>2023</v>
      </c>
      <c r="G15" s="157">
        <v>2024</v>
      </c>
    </row>
    <row r="16" spans="2:7" x14ac:dyDescent="0.3">
      <c r="B16" s="158" t="s">
        <v>254</v>
      </c>
      <c r="C16" s="159" t="s">
        <v>140</v>
      </c>
      <c r="D16" s="160">
        <f>'ESP $'!C13/1000000</f>
        <v>181.7332217057</v>
      </c>
      <c r="E16" s="160">
        <f>'ESP $'!D13/1000000</f>
        <v>553.43723705899993</v>
      </c>
      <c r="F16" s="160">
        <f>'ESP $'!E13/1000000</f>
        <v>768.77513603000011</v>
      </c>
      <c r="G16" s="160">
        <f>'ESP $'!F13/1000000</f>
        <v>891.88483266999981</v>
      </c>
    </row>
    <row r="17" spans="2:7" x14ac:dyDescent="0.3">
      <c r="B17" s="158" t="s">
        <v>255</v>
      </c>
      <c r="C17" s="159" t="s">
        <v>140</v>
      </c>
      <c r="D17" s="160">
        <f>'ESP $'!C17/1000000</f>
        <v>200.47712344449999</v>
      </c>
      <c r="E17" s="160">
        <f>'ESP $'!D17/1000000</f>
        <v>203.56317639299994</v>
      </c>
      <c r="F17" s="160">
        <f>'ESP $'!E17/1000000</f>
        <v>232.60190322</v>
      </c>
      <c r="G17" s="160">
        <f>'ESP $'!F17/1000000</f>
        <v>71.165899870000004</v>
      </c>
    </row>
    <row r="18" spans="2:7" x14ac:dyDescent="0.3">
      <c r="B18" s="158" t="s">
        <v>196</v>
      </c>
      <c r="C18" s="159" t="s">
        <v>140</v>
      </c>
      <c r="D18" s="160">
        <f>'ESP $'!C19/1000000</f>
        <v>382.2103451502</v>
      </c>
      <c r="E18" s="160">
        <f>'ESP $'!D19/1000000</f>
        <v>757.00041345199986</v>
      </c>
      <c r="F18" s="160">
        <f>'ESP $'!E19/1000000</f>
        <v>1001.3770392500002</v>
      </c>
      <c r="G18" s="160">
        <f>'ESP $'!F19/1000000</f>
        <v>963.0507325399999</v>
      </c>
    </row>
    <row r="19" spans="2:7" x14ac:dyDescent="0.3">
      <c r="B19" s="158" t="s">
        <v>256</v>
      </c>
      <c r="C19" s="159" t="s">
        <v>140</v>
      </c>
      <c r="D19" s="160">
        <f>'ESP $'!C28/1000000</f>
        <v>173.18058156909999</v>
      </c>
      <c r="E19" s="160">
        <f>'ESP $'!D28/1000000</f>
        <v>357.30867511639997</v>
      </c>
      <c r="F19" s="160">
        <f>'ESP $'!E28/1000000</f>
        <v>310.01284458000003</v>
      </c>
      <c r="G19" s="160">
        <f>'ESP $'!F28/1000000</f>
        <v>262.49121773999997</v>
      </c>
    </row>
    <row r="20" spans="2:7" x14ac:dyDescent="0.3">
      <c r="B20" s="158" t="s">
        <v>257</v>
      </c>
      <c r="C20" s="159" t="s">
        <v>140</v>
      </c>
      <c r="D20" s="160">
        <f>'ESP $'!C32/1000000</f>
        <v>16.3127192207</v>
      </c>
      <c r="E20" s="160">
        <f>'ESP $'!D32/1000000</f>
        <v>6.9706551413999991</v>
      </c>
      <c r="F20" s="160">
        <f>'ESP $'!E32/1000000</f>
        <v>0</v>
      </c>
      <c r="G20" s="160">
        <f>'ESP $'!F32/1000000</f>
        <v>0</v>
      </c>
    </row>
    <row r="21" spans="2:7" x14ac:dyDescent="0.3">
      <c r="B21" s="158" t="s">
        <v>197</v>
      </c>
      <c r="C21" s="159" t="s">
        <v>140</v>
      </c>
      <c r="D21" s="160">
        <f>'ESP $'!C34/1000000</f>
        <v>189.49330078979997</v>
      </c>
      <c r="E21" s="160">
        <f>'ESP $'!D34/1000000</f>
        <v>364.27933025779993</v>
      </c>
      <c r="F21" s="160">
        <f>'ESP $'!E34/1000000</f>
        <v>310.01284458000003</v>
      </c>
      <c r="G21" s="160">
        <f>'ESP $'!F34/1000000</f>
        <v>262.49121773999997</v>
      </c>
    </row>
    <row r="22" spans="2:7" x14ac:dyDescent="0.3">
      <c r="B22" s="158" t="s">
        <v>198</v>
      </c>
      <c r="C22" s="159" t="s">
        <v>140</v>
      </c>
      <c r="D22" s="160">
        <f>'ESP $'!C24/1000000</f>
        <v>73.742346248899992</v>
      </c>
      <c r="E22" s="160">
        <f>'ESP $'!D24/1000000</f>
        <v>156.94423777159997</v>
      </c>
      <c r="F22" s="160">
        <f>'ESP $'!E24/1000000</f>
        <v>91.250550290000007</v>
      </c>
      <c r="G22" s="160">
        <f>'ESP $'!F24/1000000</f>
        <v>110.94603773999999</v>
      </c>
    </row>
    <row r="23" spans="2:7" x14ac:dyDescent="0.3">
      <c r="B23" s="158" t="s">
        <v>199</v>
      </c>
      <c r="C23" s="159" t="s">
        <v>140</v>
      </c>
      <c r="D23" s="160">
        <f>'ESP $'!C38/1000000</f>
        <v>192.71704436040002</v>
      </c>
      <c r="E23" s="160">
        <f>'ESP $'!D38/1000000</f>
        <v>392.74354077179993</v>
      </c>
      <c r="F23" s="160">
        <f>'ESP $'!E38/1000000</f>
        <v>691.36419466999996</v>
      </c>
      <c r="G23" s="160">
        <f>'ESP $'!F38/1000000</f>
        <v>700.55951479999999</v>
      </c>
    </row>
    <row r="24" spans="2:7" x14ac:dyDescent="0.3">
      <c r="B24" s="154"/>
      <c r="C24" s="150"/>
      <c r="D24" s="150"/>
      <c r="E24" s="150"/>
      <c r="F24" s="150"/>
      <c r="G24" s="150"/>
    </row>
    <row r="25" spans="2:7" x14ac:dyDescent="0.3">
      <c r="B25" s="149"/>
      <c r="C25" s="150"/>
      <c r="D25" s="150"/>
      <c r="E25" s="150"/>
      <c r="F25" s="150"/>
      <c r="G25" s="150"/>
    </row>
    <row r="26" spans="2:7" x14ac:dyDescent="0.3">
      <c r="B26" s="155" t="s">
        <v>200</v>
      </c>
      <c r="C26" s="156"/>
      <c r="D26" s="157">
        <v>2021</v>
      </c>
      <c r="E26" s="157">
        <v>2022</v>
      </c>
      <c r="F26" s="157">
        <v>2023</v>
      </c>
      <c r="G26" s="157">
        <v>2024</v>
      </c>
    </row>
    <row r="27" spans="2:7" x14ac:dyDescent="0.3">
      <c r="B27" s="158" t="s">
        <v>201</v>
      </c>
      <c r="C27" s="159" t="s">
        <v>202</v>
      </c>
      <c r="D27" s="161">
        <f>+D11/D18</f>
        <v>2.4490747657344273E-2</v>
      </c>
      <c r="E27" s="161">
        <f>+E11/E18</f>
        <v>0.37348154244706411</v>
      </c>
      <c r="F27" s="161">
        <f>+F11/F18</f>
        <v>0.98431068009930889</v>
      </c>
      <c r="G27" s="161">
        <f>+G11/G18</f>
        <v>0.59254630272169817</v>
      </c>
    </row>
    <row r="28" spans="2:7" x14ac:dyDescent="0.3">
      <c r="B28" s="162" t="s">
        <v>203</v>
      </c>
      <c r="C28" s="163" t="s">
        <v>202</v>
      </c>
      <c r="D28" s="161">
        <f>+D10/D18</f>
        <v>-2.3052125114608205E-2</v>
      </c>
      <c r="E28" s="161">
        <f>+E10/E18</f>
        <v>0.34280945112753869</v>
      </c>
      <c r="F28" s="161">
        <f>+F10/F18</f>
        <v>0.95418584464013589</v>
      </c>
      <c r="G28" s="161">
        <f>+G10/G18</f>
        <v>0.55910537192560184</v>
      </c>
    </row>
    <row r="29" spans="2:7" x14ac:dyDescent="0.3">
      <c r="B29" s="162" t="s">
        <v>204</v>
      </c>
      <c r="C29" s="163" t="s">
        <v>202</v>
      </c>
      <c r="D29" s="161">
        <f>+D12/D18</f>
        <v>0.12637076081239798</v>
      </c>
      <c r="E29" s="161">
        <f>+E12/E18</f>
        <v>0.28138442986505247</v>
      </c>
      <c r="F29" s="161">
        <f>+F12/F18</f>
        <v>0.30339695947846745</v>
      </c>
      <c r="G29" s="161">
        <f>+G12/G18</f>
        <v>9.7842979415506848E-2</v>
      </c>
    </row>
    <row r="30" spans="2:7" x14ac:dyDescent="0.3">
      <c r="B30" s="162" t="s">
        <v>205</v>
      </c>
      <c r="C30" s="163" t="s">
        <v>202</v>
      </c>
      <c r="D30" s="161">
        <f>+D12/D23</f>
        <v>0.25062760933938882</v>
      </c>
      <c r="E30" s="161">
        <f>+E12/E23</f>
        <v>0.54235934556226451</v>
      </c>
      <c r="F30" s="161">
        <f>+F12/F23</f>
        <v>0.43944241160046771</v>
      </c>
      <c r="G30" s="161">
        <f>+G12/G23</f>
        <v>0.13450356609159855</v>
      </c>
    </row>
    <row r="31" spans="2:7" x14ac:dyDescent="0.3">
      <c r="B31" s="149"/>
      <c r="C31" s="150"/>
      <c r="D31" s="150"/>
      <c r="E31" s="150"/>
      <c r="F31" s="150"/>
      <c r="G31" s="150"/>
    </row>
    <row r="32" spans="2:7" x14ac:dyDescent="0.3">
      <c r="B32" s="149"/>
      <c r="C32" s="150"/>
      <c r="D32" s="150"/>
      <c r="E32" s="150"/>
      <c r="F32" s="150"/>
      <c r="G32" s="150"/>
    </row>
    <row r="33" spans="2:7" x14ac:dyDescent="0.3">
      <c r="B33" s="155" t="s">
        <v>206</v>
      </c>
      <c r="C33" s="156"/>
      <c r="D33" s="157">
        <v>2021</v>
      </c>
      <c r="E33" s="157">
        <v>2022</v>
      </c>
      <c r="F33" s="157">
        <v>2023</v>
      </c>
      <c r="G33" s="157">
        <v>2024</v>
      </c>
    </row>
    <row r="34" spans="2:7" x14ac:dyDescent="0.3">
      <c r="B34" s="158" t="s">
        <v>207</v>
      </c>
      <c r="C34" s="159" t="s">
        <v>202</v>
      </c>
      <c r="D34" s="161">
        <f>+D8/D7</f>
        <v>5.7272953448127703E-2</v>
      </c>
      <c r="E34" s="161">
        <f>+E8/E7</f>
        <v>0.24313577742527925</v>
      </c>
      <c r="F34" s="161">
        <f>+F8/F7</f>
        <v>0.47351050605604889</v>
      </c>
      <c r="G34" s="161">
        <f>+G8/G7</f>
        <v>0.41280892337209135</v>
      </c>
    </row>
    <row r="35" spans="2:7" x14ac:dyDescent="0.3">
      <c r="B35" s="162" t="s">
        <v>208</v>
      </c>
      <c r="C35" s="163" t="s">
        <v>202</v>
      </c>
      <c r="D35" s="164">
        <f>+D11/D7</f>
        <v>1.2773037308959883E-2</v>
      </c>
      <c r="E35" s="164">
        <f>+E11/E7</f>
        <v>0.17141466469566238</v>
      </c>
      <c r="F35" s="164">
        <f>+F11/F7</f>
        <v>0.40777095319085127</v>
      </c>
      <c r="G35" s="164">
        <f>+G11/G7</f>
        <v>0.34075096141313688</v>
      </c>
    </row>
    <row r="36" spans="2:7" x14ac:dyDescent="0.3">
      <c r="B36" s="162" t="s">
        <v>209</v>
      </c>
      <c r="C36" s="163" t="s">
        <v>202</v>
      </c>
      <c r="D36" s="164">
        <f>+D10/D7</f>
        <v>-1.2022730308578533E-2</v>
      </c>
      <c r="E36" s="164">
        <f>+E10/E7</f>
        <v>0.15733727223711433</v>
      </c>
      <c r="F36" s="164">
        <f>+F10/F7</f>
        <v>0.3952911202293059</v>
      </c>
      <c r="G36" s="164">
        <f>+G10/G7</f>
        <v>0.32152034725356815</v>
      </c>
    </row>
    <row r="37" spans="2:7" x14ac:dyDescent="0.3">
      <c r="B37" s="162" t="s">
        <v>210</v>
      </c>
      <c r="C37" s="163" t="s">
        <v>202</v>
      </c>
      <c r="D37" s="164">
        <f>+D12/D7</f>
        <v>6.5908091708844083E-2</v>
      </c>
      <c r="E37" s="164">
        <f>+E12/E7</f>
        <v>0.12914538528429292</v>
      </c>
      <c r="F37" s="164">
        <f>+F12/F7</f>
        <v>0.12568843340118871</v>
      </c>
      <c r="G37" s="164">
        <f>+G12/G7</f>
        <v>5.6265795854638215E-2</v>
      </c>
    </row>
    <row r="38" spans="2:7" x14ac:dyDescent="0.3">
      <c r="B38" s="149"/>
      <c r="C38" s="150"/>
      <c r="D38" s="150"/>
      <c r="E38" s="150"/>
      <c r="F38" s="150"/>
      <c r="G38" s="150"/>
    </row>
    <row r="39" spans="2:7" x14ac:dyDescent="0.3">
      <c r="B39" s="155" t="s">
        <v>271</v>
      </c>
      <c r="C39" s="157"/>
      <c r="D39" s="157">
        <v>2021</v>
      </c>
      <c r="E39" s="157">
        <v>2022</v>
      </c>
      <c r="F39" s="157">
        <v>2023</v>
      </c>
      <c r="G39" s="157">
        <v>2024</v>
      </c>
    </row>
    <row r="40" spans="2:7" x14ac:dyDescent="0.3">
      <c r="B40" s="227" t="s">
        <v>275</v>
      </c>
      <c r="C40" s="150" t="s">
        <v>140</v>
      </c>
      <c r="D40" s="184"/>
      <c r="E40" s="228">
        <f>('ESP $'!D16-'ESP $'!C16)/1000000</f>
        <v>3.0860529484999479</v>
      </c>
      <c r="F40" s="228">
        <f>('ESP $'!E16-'ESP $'!D16)/1000000</f>
        <v>29.038726827000051</v>
      </c>
      <c r="G40" s="228">
        <f>('ESP $'!F16-'ESP $'!E16)/1000000</f>
        <v>-161.43600334999999</v>
      </c>
    </row>
    <row r="41" spans="2:7" x14ac:dyDescent="0.3">
      <c r="B41" s="154" t="s">
        <v>274</v>
      </c>
      <c r="C41" s="150" t="s">
        <v>140</v>
      </c>
      <c r="D41" s="197">
        <f>('ESP $'!C9+'ESP $'!C11-'ESP $'!C23-'ESP $'!C25+'ESP $'!C10-'ESP $'!C26)/1000000</f>
        <v>17.184138450500004</v>
      </c>
      <c r="E41" s="197">
        <f>('ESP $'!D9+'ESP $'!D11-'ESP $'!D23-'ESP $'!D25+'ESP $'!D10-'ESP $'!D26)/1000000</f>
        <v>314.36085865319995</v>
      </c>
      <c r="F41" s="197">
        <f>('ESP $'!E9+'ESP $'!E11-'ESP $'!E23-'ESP $'!E25+'ESP $'!E10-'ESP $'!E26)/1000000</f>
        <v>193.88052683999999</v>
      </c>
      <c r="G41" s="197">
        <f>('ESP $'!F9+'ESP $'!F11-'ESP $'!F23-'ESP $'!F25+'ESP $'!F10-'ESP $'!F26)/1000000</f>
        <v>307.65439827000012</v>
      </c>
    </row>
    <row r="42" spans="2:7" x14ac:dyDescent="0.3">
      <c r="B42" s="154" t="s">
        <v>269</v>
      </c>
      <c r="C42" s="150" t="s">
        <v>140</v>
      </c>
      <c r="D42" s="2" t="s">
        <v>129</v>
      </c>
      <c r="E42" s="199">
        <f>E41-D41</f>
        <v>297.17672020269993</v>
      </c>
      <c r="F42" s="199">
        <f t="shared" ref="F42:G42" si="1">F41-E41</f>
        <v>-120.48033181319997</v>
      </c>
      <c r="G42" s="199">
        <f t="shared" si="1"/>
        <v>113.77387143000013</v>
      </c>
    </row>
    <row r="43" spans="2:7" x14ac:dyDescent="0.3">
      <c r="B43" s="154" t="s">
        <v>270</v>
      </c>
      <c r="C43" s="150" t="s">
        <v>140</v>
      </c>
      <c r="D43" s="169" t="s">
        <v>129</v>
      </c>
      <c r="E43" s="169">
        <f>E10*DuPont!U14+INDICADORES!E9-E42-E40</f>
        <v>-96.745908484119568</v>
      </c>
      <c r="F43" s="169">
        <f>F10*DuPont!V14+INDICADORES!F9-F42-F40</f>
        <v>753.53475478492146</v>
      </c>
      <c r="G43" s="169">
        <f>G10*DuPont!W14+INDICADORES!G9-G42-G40</f>
        <v>406.10389321217644</v>
      </c>
    </row>
    <row r="44" spans="2:7" x14ac:dyDescent="0.3">
      <c r="B44" s="154" t="s">
        <v>272</v>
      </c>
      <c r="C44" s="150" t="s">
        <v>140</v>
      </c>
      <c r="D44" s="169" t="s">
        <v>129</v>
      </c>
      <c r="E44" s="169">
        <f>E10*DuPont!U14+INDICADORES!E9+INDICADORES!E22-INDICADORES!E42-E40</f>
        <v>60.198329287480441</v>
      </c>
      <c r="F44" s="169">
        <f>F10*DuPont!V14+INDICADORES!F9+INDICADORES!F22-INDICADORES!F42-F40</f>
        <v>844.78530507492144</v>
      </c>
      <c r="G44" s="169">
        <f>G10*DuPont!W14+INDICADORES!G9+INDICADORES!G22-INDICADORES!G42-G40</f>
        <v>517.0499309521764</v>
      </c>
    </row>
    <row r="45" spans="2:7" x14ac:dyDescent="0.3">
      <c r="B45" s="149" t="s">
        <v>273</v>
      </c>
      <c r="C45" s="150" t="s">
        <v>140</v>
      </c>
      <c r="D45" s="198" t="s">
        <v>129</v>
      </c>
      <c r="E45" s="198">
        <f>E10*DuPont!U14+E9+E13-E42-E40</f>
        <v>-74.12467969956306</v>
      </c>
      <c r="F45" s="198">
        <f>F10*DuPont!V14+F9+F13-F42-F40</f>
        <v>798.23927188492144</v>
      </c>
      <c r="G45" s="198">
        <f>G10*DuPont!W14+G9+G13-G42-G40</f>
        <v>442.71547541217637</v>
      </c>
    </row>
    <row r="46" spans="2:7" x14ac:dyDescent="0.3">
      <c r="B46" s="149"/>
      <c r="C46" s="150"/>
      <c r="D46" s="150"/>
      <c r="E46" s="150"/>
      <c r="F46" s="150"/>
      <c r="G46" s="150"/>
    </row>
    <row r="47" spans="2:7" x14ac:dyDescent="0.3">
      <c r="B47" s="155" t="s">
        <v>211</v>
      </c>
      <c r="C47" s="157"/>
      <c r="D47" s="157">
        <v>2021</v>
      </c>
      <c r="E47" s="157">
        <v>2022</v>
      </c>
      <c r="F47" s="157">
        <v>2023</v>
      </c>
      <c r="G47" s="157">
        <v>2024</v>
      </c>
    </row>
    <row r="48" spans="2:7" x14ac:dyDescent="0.3">
      <c r="B48" s="158" t="s">
        <v>212</v>
      </c>
      <c r="C48" s="159" t="s">
        <v>213</v>
      </c>
      <c r="D48" s="165">
        <f>+D7/D18</f>
        <v>1.9173785423898189</v>
      </c>
      <c r="E48" s="165">
        <f>+E7/E18</f>
        <v>2.1788190824289204</v>
      </c>
      <c r="F48" s="165">
        <f>+F7/F18</f>
        <v>2.4138813036999633</v>
      </c>
      <c r="G48" s="165">
        <f>+G7/G18</f>
        <v>1.7389424237112479</v>
      </c>
    </row>
    <row r="49" spans="2:7" x14ac:dyDescent="0.3">
      <c r="B49" s="162" t="s">
        <v>214</v>
      </c>
      <c r="C49" s="163" t="s">
        <v>213</v>
      </c>
      <c r="D49" s="166">
        <f>D7/(D17-'ESP $'!C12/1000000)</f>
        <v>3.6554889748968278</v>
      </c>
      <c r="E49" s="166">
        <f>E7/(E17-'ESP $'!D12/1000000)</f>
        <v>8.7126595422503712</v>
      </c>
      <c r="F49" s="166">
        <f>F7/(F17-'ESP $'!E12/1000000)</f>
        <v>10.796331458690961</v>
      </c>
      <c r="G49" s="166">
        <f>G7/(G17-'ESP $'!F12/1000000)</f>
        <v>23.532194183719803</v>
      </c>
    </row>
    <row r="50" spans="2:7" x14ac:dyDescent="0.3">
      <c r="B50" s="162" t="s">
        <v>215</v>
      </c>
      <c r="C50" s="163" t="s">
        <v>213</v>
      </c>
      <c r="D50" s="166">
        <f>D7/('ESP $'!C9/1000000)</f>
        <v>19.869920281735151</v>
      </c>
      <c r="E50" s="166">
        <f>E7/('ESP $'!D9/1000000)</f>
        <v>3.8474612413946798</v>
      </c>
      <c r="F50" s="166">
        <f>F7/('ESP $'!E9/1000000)</f>
        <v>8.0727118020411606</v>
      </c>
      <c r="G50" s="166">
        <f>G7/('ESP $'!F9/1000000)</f>
        <v>5.3675529669185291</v>
      </c>
    </row>
    <row r="51" spans="2:7" x14ac:dyDescent="0.3">
      <c r="B51" s="162" t="s">
        <v>216</v>
      </c>
      <c r="C51" s="163" t="s">
        <v>217</v>
      </c>
      <c r="D51" s="166">
        <f>(('ESP $'!C9/1.21)/1000000)/INDICADORES!D7*360</f>
        <v>14.973419970411864</v>
      </c>
      <c r="E51" s="166">
        <f>(('ESP $'!D9/1.21)/1000000)/INDICADORES!E7*360</f>
        <v>77.329085984288042</v>
      </c>
      <c r="F51" s="166">
        <f>(('ESP $'!E9/1.21)/1000000)/INDICADORES!F7*360</f>
        <v>36.855107484674178</v>
      </c>
      <c r="G51" s="166">
        <f>(('ESP $'!F9/1.21)/1000000)/INDICADORES!G7*360</f>
        <v>55.429478384417166</v>
      </c>
    </row>
    <row r="52" spans="2:7" x14ac:dyDescent="0.3">
      <c r="B52" s="162" t="s">
        <v>218</v>
      </c>
      <c r="C52" s="163" t="s">
        <v>213</v>
      </c>
      <c r="D52" s="166">
        <f>'ESP $'!C11/(-'ER $'!C8)*360</f>
        <v>4.3419021957644786</v>
      </c>
      <c r="E52" s="166">
        <f>'ESP $'!D11/(-'ER $'!D8)*360</f>
        <v>2.2200129709712777</v>
      </c>
      <c r="F52" s="166">
        <f>'ESP $'!E11/(-'ER $'!E8)*360</f>
        <v>1.4262853117044483</v>
      </c>
      <c r="G52" s="166">
        <f>'ESP $'!F11/(-'ER $'!F8)*360</f>
        <v>10.722139941802888</v>
      </c>
    </row>
    <row r="53" spans="2:7" x14ac:dyDescent="0.3">
      <c r="B53" s="162" t="s">
        <v>219</v>
      </c>
      <c r="C53" s="163" t="s">
        <v>217</v>
      </c>
      <c r="D53" s="166">
        <f>(('ESP $'!C23/1.21))/(-'ER $'!C8)*360</f>
        <v>0</v>
      </c>
      <c r="E53" s="166">
        <f>(('ESP $'!D23/1.21))/(-'ER $'!D8)*360</f>
        <v>0</v>
      </c>
      <c r="F53" s="166">
        <f>(('ESP $'!E23/1.21))/(-'ER $'!E8)*360</f>
        <v>0</v>
      </c>
      <c r="G53" s="166">
        <f>(('ESP $'!F23/1.21))/(-'ER $'!F8)*360</f>
        <v>2.5498771286134891</v>
      </c>
    </row>
    <row r="54" spans="2:7" x14ac:dyDescent="0.3">
      <c r="B54" s="162" t="s">
        <v>220</v>
      </c>
      <c r="C54" s="163" t="s">
        <v>217</v>
      </c>
      <c r="D54" s="166">
        <f t="shared" ref="D54:F54" si="2">+D51+D52</f>
        <v>19.315322166176344</v>
      </c>
      <c r="E54" s="166">
        <f t="shared" si="2"/>
        <v>79.549098955259325</v>
      </c>
      <c r="F54" s="166">
        <f t="shared" si="2"/>
        <v>38.281392796378626</v>
      </c>
      <c r="G54" s="166">
        <f>+G51+G52</f>
        <v>66.15161832622006</v>
      </c>
    </row>
    <row r="55" spans="2:7" x14ac:dyDescent="0.3">
      <c r="B55" s="162" t="s">
        <v>221</v>
      </c>
      <c r="C55" s="163" t="s">
        <v>217</v>
      </c>
      <c r="D55" s="166">
        <f t="shared" ref="D55:F55" si="3">+D51+D52-D53</f>
        <v>19.315322166176344</v>
      </c>
      <c r="E55" s="166">
        <f t="shared" si="3"/>
        <v>79.549098955259325</v>
      </c>
      <c r="F55" s="166">
        <f t="shared" si="3"/>
        <v>38.281392796378626</v>
      </c>
      <c r="G55" s="166">
        <f>+G51+G52-G53</f>
        <v>63.601741197606572</v>
      </c>
    </row>
    <row r="56" spans="2:7" x14ac:dyDescent="0.3">
      <c r="B56" s="149"/>
      <c r="C56" s="150"/>
      <c r="D56" s="150"/>
      <c r="E56" s="150"/>
      <c r="F56" s="150"/>
      <c r="G56" s="150"/>
    </row>
    <row r="57" spans="2:7" x14ac:dyDescent="0.3">
      <c r="B57" s="149"/>
      <c r="C57" s="150"/>
      <c r="D57" s="150"/>
      <c r="E57" s="150"/>
      <c r="F57" s="150"/>
      <c r="G57" s="150"/>
    </row>
    <row r="58" spans="2:7" x14ac:dyDescent="0.3">
      <c r="B58" s="155" t="s">
        <v>222</v>
      </c>
      <c r="C58" s="157"/>
      <c r="D58" s="157">
        <v>2021</v>
      </c>
      <c r="E58" s="157">
        <v>2022</v>
      </c>
      <c r="F58" s="157">
        <v>2023</v>
      </c>
      <c r="G58" s="157">
        <v>2024</v>
      </c>
    </row>
    <row r="59" spans="2:7" x14ac:dyDescent="0.3">
      <c r="B59" s="158" t="s">
        <v>223</v>
      </c>
      <c r="C59" s="159" t="s">
        <v>202</v>
      </c>
      <c r="D59" s="161">
        <f>+D21/D18</f>
        <v>0.49578276253965181</v>
      </c>
      <c r="E59" s="161">
        <f>+E21/E18</f>
        <v>0.48121417608829126</v>
      </c>
      <c r="F59" s="161">
        <f>+F21/F18</f>
        <v>0.30958653177447515</v>
      </c>
      <c r="G59" s="161">
        <f>+G21/G18</f>
        <v>0.27256219103607554</v>
      </c>
    </row>
    <row r="60" spans="2:7" x14ac:dyDescent="0.3">
      <c r="B60" s="162" t="s">
        <v>224</v>
      </c>
      <c r="C60" s="163" t="s">
        <v>202</v>
      </c>
      <c r="D60" s="164">
        <f>+D22/D18</f>
        <v>0.19293655230582762</v>
      </c>
      <c r="E60" s="164">
        <f>+E22/E18</f>
        <v>0.20732384683373961</v>
      </c>
      <c r="F60" s="164">
        <f>+F22/F18</f>
        <v>9.1125067495399933E-2</v>
      </c>
      <c r="G60" s="164">
        <f>+G22/G18</f>
        <v>0.11520269285023559</v>
      </c>
    </row>
    <row r="61" spans="2:7" x14ac:dyDescent="0.3">
      <c r="B61" s="162" t="s">
        <v>225</v>
      </c>
      <c r="C61" s="163" t="s">
        <v>202</v>
      </c>
      <c r="D61" s="164">
        <f>+D21/D23</f>
        <v>0.98327214086694203</v>
      </c>
      <c r="E61" s="164">
        <f>+E21/E23</f>
        <v>0.92752468835499224</v>
      </c>
      <c r="F61" s="164">
        <f>+F21/F23</f>
        <v>0.44840743412807849</v>
      </c>
      <c r="G61" s="164">
        <f>+G21/G23</f>
        <v>0.37468796325596632</v>
      </c>
    </row>
    <row r="62" spans="2:7" x14ac:dyDescent="0.3">
      <c r="B62" s="162" t="s">
        <v>226</v>
      </c>
      <c r="C62" s="163" t="s">
        <v>202</v>
      </c>
      <c r="D62" s="164">
        <f>+D22/D23</f>
        <v>0.38264568914306551</v>
      </c>
      <c r="E62" s="164">
        <f>+E22/E23</f>
        <v>0.39960997821423372</v>
      </c>
      <c r="F62" s="164">
        <f>+F22/F23</f>
        <v>0.1319862251957602</v>
      </c>
      <c r="G62" s="164">
        <f>+G22/G23</f>
        <v>0.15836775519589302</v>
      </c>
    </row>
    <row r="63" spans="2:7" x14ac:dyDescent="0.3">
      <c r="B63" s="162" t="s">
        <v>227</v>
      </c>
      <c r="C63" s="163" t="s">
        <v>213</v>
      </c>
      <c r="D63" s="166">
        <f>+D10/D13</f>
        <v>-0.48227541308860916</v>
      </c>
      <c r="E63" s="166">
        <f>+E10/E13</f>
        <v>11.471830231254506</v>
      </c>
      <c r="F63" s="166">
        <f>+F10/F13</f>
        <v>21.37367447371442</v>
      </c>
      <c r="G63" s="166">
        <f>+G10/G13</f>
        <v>14.707008155468355</v>
      </c>
    </row>
    <row r="64" spans="2:7" x14ac:dyDescent="0.3">
      <c r="B64" s="162" t="s">
        <v>228</v>
      </c>
      <c r="C64" s="163" t="s">
        <v>213</v>
      </c>
      <c r="D64" s="166">
        <f>+D18/D23</f>
        <v>1.983272140866942</v>
      </c>
      <c r="E64" s="166">
        <f>+E18/E23</f>
        <v>1.9274675070769607</v>
      </c>
      <c r="F64" s="166">
        <f>+F18/F23</f>
        <v>1.4484074341280788</v>
      </c>
      <c r="G64" s="166">
        <f>+G18/G23</f>
        <v>1.3746879632559663</v>
      </c>
    </row>
    <row r="65" spans="2:7" x14ac:dyDescent="0.3">
      <c r="B65" s="162" t="s">
        <v>229</v>
      </c>
      <c r="C65" s="163" t="s">
        <v>202</v>
      </c>
      <c r="D65" s="164">
        <f>+D13/D22</f>
        <v>0.2477429660230335</v>
      </c>
      <c r="E65" s="164">
        <f>+E13/E22</f>
        <v>0.14413545285732021</v>
      </c>
      <c r="F65" s="164">
        <f>+F13/F22</f>
        <v>0.4899095617278606</v>
      </c>
      <c r="G65" s="164">
        <f>+G13/G22</f>
        <v>0.32999449954038523</v>
      </c>
    </row>
    <row r="66" spans="2:7" x14ac:dyDescent="0.3">
      <c r="B66" s="149"/>
      <c r="C66" s="150"/>
      <c r="D66" s="150"/>
      <c r="E66" s="150"/>
      <c r="F66" s="150"/>
      <c r="G66" s="150"/>
    </row>
    <row r="67" spans="2:7" x14ac:dyDescent="0.3">
      <c r="B67" s="154"/>
      <c r="C67" s="150"/>
      <c r="D67" s="151"/>
      <c r="E67" s="151"/>
      <c r="F67" s="151"/>
      <c r="G67" s="151"/>
    </row>
    <row r="68" spans="2:7" x14ac:dyDescent="0.3">
      <c r="B68" s="155" t="s">
        <v>230</v>
      </c>
      <c r="C68" s="157"/>
      <c r="D68" s="157">
        <v>2021</v>
      </c>
      <c r="E68" s="157">
        <v>2022</v>
      </c>
      <c r="F68" s="157">
        <v>2023</v>
      </c>
      <c r="G68" s="157">
        <v>2024</v>
      </c>
    </row>
    <row r="69" spans="2:7" x14ac:dyDescent="0.3">
      <c r="B69" s="158" t="s">
        <v>231</v>
      </c>
      <c r="C69" s="159" t="s">
        <v>213</v>
      </c>
      <c r="D69" s="165">
        <f>+D16/D19</f>
        <v>1.0493856762640994</v>
      </c>
      <c r="E69" s="165">
        <f>+E16/E19</f>
        <v>1.5489051221012404</v>
      </c>
      <c r="F69" s="165">
        <f>+F16/F19</f>
        <v>2.4798170445857597</v>
      </c>
      <c r="G69" s="165">
        <f>+G16/G19</f>
        <v>3.3977701819853654</v>
      </c>
    </row>
    <row r="70" spans="2:7" x14ac:dyDescent="0.3">
      <c r="B70" s="162" t="s">
        <v>232</v>
      </c>
      <c r="C70" s="163" t="s">
        <v>213</v>
      </c>
      <c r="D70" s="166">
        <f>('ESP $'!C13-'ESP $'!C11)/'ESP $'!C28</f>
        <v>1.0012713277597591</v>
      </c>
      <c r="E70" s="166">
        <f>('ESP $'!D13-'ESP $'!D11)/'ESP $'!D28</f>
        <v>1.5273602106313688</v>
      </c>
      <c r="F70" s="166">
        <f>('ESP $'!E13-'ESP $'!E11)/'ESP $'!E28</f>
        <v>2.463553040664145</v>
      </c>
      <c r="G70" s="166">
        <f>('ESP $'!F13-'ESP $'!F11)/'ESP $'!F28</f>
        <v>3.2861923268778082</v>
      </c>
    </row>
    <row r="71" spans="2:7" x14ac:dyDescent="0.3">
      <c r="B71" s="162" t="s">
        <v>233</v>
      </c>
      <c r="C71" s="163" t="s">
        <v>217</v>
      </c>
      <c r="D71" s="166">
        <f>'ESP $'!C8/((-'ER $'!C11-'ER $'!C12)/360)</f>
        <v>513.47788357938362</v>
      </c>
      <c r="E71" s="166">
        <f>'ESP $'!D8/((-'ER $'!D11-'ER $'!D12)/360)</f>
        <v>62.213657308527161</v>
      </c>
      <c r="F71" s="166">
        <f>'ESP $'!E8/((-'ER $'!E11-'ER $'!E12)/360)</f>
        <v>661.50264848663858</v>
      </c>
      <c r="G71" s="166">
        <f>'ESP $'!F8/((-'ER $'!F11-'ER $'!F12)/360)</f>
        <v>1018.8817748189438</v>
      </c>
    </row>
    <row r="75" spans="2:7" x14ac:dyDescent="0.3">
      <c r="B75" s="154"/>
      <c r="C75" s="150"/>
      <c r="D75" s="150"/>
      <c r="E75" s="150"/>
      <c r="F75" s="150"/>
      <c r="G75" s="150"/>
    </row>
    <row r="76" spans="2:7" x14ac:dyDescent="0.3">
      <c r="B76" s="155" t="s">
        <v>234</v>
      </c>
      <c r="C76" s="157"/>
      <c r="D76" s="157">
        <v>2021</v>
      </c>
      <c r="E76" s="157">
        <v>2022</v>
      </c>
      <c r="F76" s="157">
        <v>2023</v>
      </c>
      <c r="G76" s="157">
        <v>2024</v>
      </c>
    </row>
    <row r="77" spans="2:7" x14ac:dyDescent="0.3">
      <c r="B77" s="158" t="s">
        <v>235</v>
      </c>
      <c r="C77" s="159" t="s">
        <v>202</v>
      </c>
      <c r="D77" s="167">
        <f>D14/D12</f>
        <v>0</v>
      </c>
      <c r="E77" s="167">
        <f>E14/E12</f>
        <v>2.3983840457510751E-2</v>
      </c>
      <c r="F77" s="167">
        <f>F14/F12</f>
        <v>1.5694603424272861E-2</v>
      </c>
      <c r="G77" s="167">
        <f>G14/G12</f>
        <v>0.16132456220196612</v>
      </c>
    </row>
    <row r="78" spans="2:7" x14ac:dyDescent="0.3">
      <c r="B78" s="158" t="s">
        <v>236</v>
      </c>
      <c r="C78" s="159" t="s">
        <v>202</v>
      </c>
      <c r="D78" s="167">
        <f>1-D77</f>
        <v>1</v>
      </c>
      <c r="E78" s="167">
        <f t="shared" ref="E78:G78" si="4">1-E77</f>
        <v>0.97601615954248921</v>
      </c>
      <c r="F78" s="167">
        <f t="shared" si="4"/>
        <v>0.98430539657572713</v>
      </c>
      <c r="G78" s="167">
        <f t="shared" si="4"/>
        <v>0.83867543779803388</v>
      </c>
    </row>
    <row r="79" spans="2:7" x14ac:dyDescent="0.3">
      <c r="B79" s="162" t="s">
        <v>237</v>
      </c>
      <c r="C79" s="163" t="s">
        <v>202</v>
      </c>
      <c r="D79" s="164">
        <f>D9/(INDICADORES!D17)</f>
        <v>9.0640655150015459E-2</v>
      </c>
      <c r="E79" s="164">
        <f>E9/(INDICADORES!E17)</f>
        <v>0.11406181717999894</v>
      </c>
      <c r="F79" s="164">
        <f>F9/(INDICADORES!F17)</f>
        <v>0.12969076401523694</v>
      </c>
      <c r="G79" s="164">
        <f>G9/(INDICADORES!G17)</f>
        <v>0.4525385466751633</v>
      </c>
    </row>
    <row r="80" spans="2:7" x14ac:dyDescent="0.3">
      <c r="B80" s="162" t="s">
        <v>238</v>
      </c>
      <c r="C80" s="163" t="s">
        <v>202</v>
      </c>
      <c r="D80" s="164">
        <f>'ESP $'!C12/'ESP $'!C19</f>
        <v>0</v>
      </c>
      <c r="E80" s="164">
        <f>'ESP $'!D12/'ESP $'!D19</f>
        <v>1.8832530085406567E-2</v>
      </c>
      <c r="F80" s="164">
        <f>'ESP $'!E12/'ESP $'!E19</f>
        <v>8.6985668320535125E-3</v>
      </c>
      <c r="G80" s="164">
        <f>'ESP $'!F12/'ESP $'!F19</f>
        <v>0</v>
      </c>
    </row>
    <row r="81" spans="2:7" x14ac:dyDescent="0.3">
      <c r="B81" s="162" t="s">
        <v>239</v>
      </c>
      <c r="C81" s="163" t="s">
        <v>202</v>
      </c>
      <c r="D81" s="164">
        <f>'ER $'!C17/'ER $'!C16</f>
        <v>-0.12063175445531769</v>
      </c>
      <c r="E81" s="164">
        <f>'ER $'!D17/'ER $'!D16</f>
        <v>-0.30522817901975674</v>
      </c>
      <c r="F81" s="164">
        <f>'ER $'!E17/'ER $'!E16</f>
        <v>-0.33864262654571009</v>
      </c>
      <c r="G81" s="164">
        <f>'ER $'!F17/'ER $'!F16</f>
        <v>-0.39411576896997841</v>
      </c>
    </row>
    <row r="82" spans="2:7" x14ac:dyDescent="0.3">
      <c r="B82" s="149"/>
      <c r="C82" s="150"/>
      <c r="D82" s="150"/>
      <c r="E82" s="150"/>
      <c r="F82" s="150"/>
      <c r="G82" s="150"/>
    </row>
    <row r="83" spans="2:7" x14ac:dyDescent="0.3">
      <c r="B83" s="149"/>
      <c r="C83" s="150"/>
      <c r="D83" s="150"/>
      <c r="E83" s="150"/>
      <c r="F83" s="150"/>
      <c r="G83" s="150"/>
    </row>
    <row r="84" spans="2:7" x14ac:dyDescent="0.3">
      <c r="B84" s="155" t="s">
        <v>268</v>
      </c>
      <c r="C84" s="157"/>
      <c r="D84" s="157">
        <v>2021</v>
      </c>
      <c r="E84" s="157">
        <v>2022</v>
      </c>
      <c r="F84" s="157">
        <v>2023</v>
      </c>
      <c r="G84" s="157">
        <v>2024</v>
      </c>
    </row>
    <row r="85" spans="2:7" x14ac:dyDescent="0.3">
      <c r="B85" s="168" t="s">
        <v>240</v>
      </c>
      <c r="C85" s="150"/>
      <c r="D85" s="169"/>
      <c r="E85" s="169"/>
      <c r="F85" s="170"/>
      <c r="G85" s="169"/>
    </row>
    <row r="86" spans="2:7" x14ac:dyDescent="0.3">
      <c r="B86" s="171" t="s">
        <v>241</v>
      </c>
      <c r="C86" s="172" t="s">
        <v>202</v>
      </c>
      <c r="D86" s="173"/>
      <c r="E86" s="173"/>
      <c r="F86" s="173"/>
      <c r="G86" s="173">
        <f>(G7/D7)^(1/3)-1</f>
        <v>0.31716856064295573</v>
      </c>
    </row>
    <row r="87" spans="2:7" x14ac:dyDescent="0.3">
      <c r="B87" s="174" t="s">
        <v>242</v>
      </c>
      <c r="C87" s="175" t="s">
        <v>202</v>
      </c>
      <c r="D87" s="176"/>
      <c r="E87" s="176"/>
      <c r="F87" s="176"/>
      <c r="G87" s="176">
        <f>(G12/D12)^(1/3)-1</f>
        <v>0.24952015461780142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25EB-3D4D-4C6A-A70F-7AB41E9525BA}">
  <dimension ref="B2:Y27"/>
  <sheetViews>
    <sheetView topLeftCell="C1" workbookViewId="0">
      <selection activeCell="E6" sqref="E6"/>
    </sheetView>
  </sheetViews>
  <sheetFormatPr baseColWidth="10" defaultColWidth="8.88671875" defaultRowHeight="14.4" x14ac:dyDescent="0.3"/>
  <sheetData>
    <row r="2" spans="2:25" x14ac:dyDescent="0.3">
      <c r="B2" s="152" t="s">
        <v>159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78"/>
      <c r="O2" s="178"/>
      <c r="P2" s="150"/>
      <c r="Q2" s="150"/>
      <c r="R2" s="150"/>
      <c r="S2" s="150"/>
      <c r="T2" s="154" t="s">
        <v>243</v>
      </c>
      <c r="U2" s="150"/>
      <c r="V2" s="150"/>
      <c r="W2" s="150"/>
      <c r="X2" s="150"/>
      <c r="Y2" s="150"/>
    </row>
    <row r="3" spans="2:25" x14ac:dyDescent="0.3">
      <c r="B3" s="154" t="s">
        <v>244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78"/>
      <c r="Q3" s="150"/>
      <c r="R3" s="150"/>
      <c r="S3" s="150"/>
      <c r="T3" s="179">
        <v>2021</v>
      </c>
      <c r="U3" s="179">
        <v>2022</v>
      </c>
      <c r="V3" s="179">
        <v>2023</v>
      </c>
      <c r="W3" s="179">
        <v>2024</v>
      </c>
      <c r="X3" s="150"/>
      <c r="Y3" s="150"/>
    </row>
    <row r="4" spans="2:25" x14ac:dyDescent="0.3">
      <c r="B4" s="18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81">
        <f>INDICADORES!D36</f>
        <v>-1.2022730308578533E-2</v>
      </c>
      <c r="U4" s="181">
        <f>INDICADORES!E36</f>
        <v>0.15733727223711433</v>
      </c>
      <c r="V4" s="181">
        <f>INDICADORES!F36</f>
        <v>0.3952911202293059</v>
      </c>
      <c r="W4" s="181">
        <f>INDICADORES!G36</f>
        <v>0.32152034725356815</v>
      </c>
      <c r="X4" s="150"/>
      <c r="Y4" s="150"/>
    </row>
    <row r="5" spans="2:25" x14ac:dyDescent="0.3">
      <c r="B5" s="182" t="s">
        <v>245</v>
      </c>
      <c r="C5" s="156"/>
      <c r="D5" s="156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87"/>
      <c r="U5" s="187"/>
      <c r="V5" s="187"/>
      <c r="W5" s="187"/>
      <c r="X5" s="150"/>
      <c r="Y5" s="150"/>
    </row>
    <row r="6" spans="2:25" x14ac:dyDescent="0.3">
      <c r="B6" s="154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83"/>
      <c r="O6" s="183"/>
      <c r="P6" s="183"/>
      <c r="Q6" s="183"/>
      <c r="R6" s="150"/>
      <c r="S6" s="150"/>
      <c r="T6" s="150"/>
      <c r="U6" s="150"/>
      <c r="V6" s="150"/>
      <c r="W6" s="150"/>
      <c r="X6" s="150"/>
      <c r="Y6" s="150"/>
    </row>
    <row r="7" spans="2:25" x14ac:dyDescent="0.3"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4" t="s">
        <v>246</v>
      </c>
      <c r="O7" s="150"/>
      <c r="P7" s="150"/>
      <c r="Q7" s="150"/>
      <c r="R7" s="150"/>
      <c r="S7" s="150"/>
      <c r="T7" s="154" t="s">
        <v>247</v>
      </c>
      <c r="U7" s="150"/>
      <c r="V7" s="150"/>
      <c r="W7" s="150"/>
      <c r="X7" s="150"/>
      <c r="Y7" s="150"/>
    </row>
    <row r="8" spans="2:25" x14ac:dyDescent="0.3"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79">
        <v>2021</v>
      </c>
      <c r="O8" s="179">
        <v>2022</v>
      </c>
      <c r="P8" s="179">
        <v>2023</v>
      </c>
      <c r="Q8" s="179">
        <v>2024</v>
      </c>
      <c r="R8" s="184"/>
      <c r="S8" s="184"/>
      <c r="T8" s="179">
        <v>2021</v>
      </c>
      <c r="U8" s="179">
        <v>2022</v>
      </c>
      <c r="V8" s="179">
        <v>2023</v>
      </c>
      <c r="W8" s="179">
        <v>2024</v>
      </c>
      <c r="X8" s="150"/>
      <c r="Y8" s="150"/>
    </row>
    <row r="9" spans="2:25" x14ac:dyDescent="0.3">
      <c r="B9" s="150"/>
      <c r="C9" s="150"/>
      <c r="D9" s="150"/>
      <c r="E9" s="150"/>
      <c r="F9" s="150"/>
      <c r="G9" s="150"/>
      <c r="H9" s="150"/>
      <c r="I9" s="150"/>
      <c r="J9" s="185"/>
      <c r="K9" s="185"/>
      <c r="L9" s="185"/>
      <c r="M9" s="185"/>
      <c r="N9" s="181">
        <f t="shared" ref="N9:Q9" si="0">+T4*T9*T14</f>
        <v>6.5908091708844083E-2</v>
      </c>
      <c r="O9" s="181">
        <f t="shared" si="0"/>
        <v>0.1291453852842929</v>
      </c>
      <c r="P9" s="181">
        <f t="shared" si="0"/>
        <v>0.12568843340118871</v>
      </c>
      <c r="Q9" s="181">
        <f t="shared" si="0"/>
        <v>5.6265795854638201E-2</v>
      </c>
      <c r="R9" s="186"/>
      <c r="S9" s="186"/>
      <c r="T9" s="181">
        <f>'ER $'!C16/'ER $'!C13</f>
        <v>-6.2339720841038089</v>
      </c>
      <c r="U9" s="181">
        <f>'ER $'!D16/'ER $'!D13</f>
        <v>1.1814220711471051</v>
      </c>
      <c r="V9" s="181">
        <f>'ER $'!E16/'ER $'!E13</f>
        <v>0.48077520050040912</v>
      </c>
      <c r="W9" s="181">
        <f>'ER $'!F16/'ER $'!F13</f>
        <v>0.288832696237321</v>
      </c>
      <c r="X9" s="150"/>
      <c r="Y9" s="150" t="s">
        <v>248</v>
      </c>
    </row>
    <row r="10" spans="2:25" x14ac:dyDescent="0.3">
      <c r="B10" s="150"/>
      <c r="C10" s="150"/>
      <c r="D10" s="150"/>
      <c r="E10" s="150"/>
      <c r="F10" s="150"/>
      <c r="G10" s="150"/>
      <c r="H10" s="150"/>
      <c r="I10" s="150"/>
      <c r="J10" s="185"/>
      <c r="K10" s="185"/>
      <c r="L10" s="185"/>
      <c r="M10" s="185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50"/>
      <c r="Y10" s="150"/>
    </row>
    <row r="11" spans="2:25" x14ac:dyDescent="0.3"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</row>
    <row r="12" spans="2:25" x14ac:dyDescent="0.3">
      <c r="B12" s="150"/>
      <c r="C12" s="150"/>
      <c r="D12" s="150"/>
      <c r="E12" s="150"/>
      <c r="F12" s="150"/>
      <c r="G12" s="150"/>
      <c r="H12" s="149" t="s">
        <v>249</v>
      </c>
      <c r="I12" s="154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4" t="s">
        <v>250</v>
      </c>
      <c r="U12" s="150"/>
      <c r="V12" s="150"/>
      <c r="W12" s="150"/>
      <c r="X12" s="150"/>
      <c r="Y12" s="150"/>
    </row>
    <row r="13" spans="2:25" x14ac:dyDescent="0.3">
      <c r="B13" s="150"/>
      <c r="C13" s="150"/>
      <c r="D13" s="150"/>
      <c r="E13" s="150"/>
      <c r="F13" s="150"/>
      <c r="G13" s="150"/>
      <c r="H13" s="179">
        <v>2021</v>
      </c>
      <c r="I13" s="179">
        <v>2022</v>
      </c>
      <c r="J13" s="179">
        <v>2023</v>
      </c>
      <c r="K13" s="179">
        <v>2024</v>
      </c>
      <c r="L13" s="184"/>
      <c r="M13" s="184"/>
      <c r="N13" s="150"/>
      <c r="O13" s="150"/>
      <c r="P13" s="150"/>
      <c r="Q13" s="150"/>
      <c r="R13" s="150"/>
      <c r="S13" s="150"/>
      <c r="T13" s="179">
        <v>2021</v>
      </c>
      <c r="U13" s="179">
        <v>2022</v>
      </c>
      <c r="V13" s="179">
        <v>2023</v>
      </c>
      <c r="W13" s="179">
        <v>2024</v>
      </c>
      <c r="X13" s="150"/>
      <c r="Y13" s="150"/>
    </row>
    <row r="14" spans="2:25" x14ac:dyDescent="0.3">
      <c r="B14" s="150"/>
      <c r="C14" s="150"/>
      <c r="D14" s="150"/>
      <c r="E14" s="150"/>
      <c r="F14" s="150"/>
      <c r="G14" s="150"/>
      <c r="H14" s="181">
        <f t="shared" ref="H14:K14" si="1">+N9*N19</f>
        <v>0.12637076081239798</v>
      </c>
      <c r="I14" s="181">
        <f t="shared" si="1"/>
        <v>0.28138442986505247</v>
      </c>
      <c r="J14" s="181">
        <f t="shared" si="1"/>
        <v>0.3033969594784674</v>
      </c>
      <c r="K14" s="181">
        <f t="shared" si="1"/>
        <v>9.7842979415506834E-2</v>
      </c>
      <c r="L14" s="186"/>
      <c r="M14" s="186"/>
      <c r="N14" s="150"/>
      <c r="O14" s="150"/>
      <c r="P14" s="150"/>
      <c r="Q14" s="150"/>
      <c r="R14" s="150"/>
      <c r="S14" s="150"/>
      <c r="T14" s="181">
        <f>'ER $'!C20/'ER $'!C16</f>
        <v>0.87936824554468229</v>
      </c>
      <c r="U14" s="181">
        <f>'ER $'!D20/'ER $'!D16</f>
        <v>0.69477182098024337</v>
      </c>
      <c r="V14" s="181">
        <f>'ER $'!E20/'ER $'!E16</f>
        <v>0.6613573691006015</v>
      </c>
      <c r="W14" s="181">
        <f>'ER $'!F20/'ER $'!F16</f>
        <v>0.60588423103002154</v>
      </c>
      <c r="X14" s="150"/>
      <c r="Y14" s="150"/>
    </row>
    <row r="15" spans="2:25" x14ac:dyDescent="0.3">
      <c r="B15" s="150"/>
      <c r="C15" s="150"/>
      <c r="D15" s="150"/>
      <c r="E15" s="150"/>
      <c r="F15" s="150"/>
      <c r="G15" s="150"/>
      <c r="H15" s="187"/>
      <c r="I15" s="187"/>
      <c r="J15" s="187"/>
      <c r="K15" s="187"/>
      <c r="L15" s="187"/>
      <c r="M15" s="187"/>
      <c r="N15" s="150"/>
      <c r="O15" s="150"/>
      <c r="P15" s="150"/>
      <c r="Q15" s="150"/>
      <c r="R15" s="150"/>
      <c r="S15" s="150"/>
      <c r="T15" s="187"/>
      <c r="U15" s="187"/>
      <c r="V15" s="187"/>
      <c r="W15" s="187"/>
      <c r="X15" s="150"/>
      <c r="Y15" s="150"/>
    </row>
    <row r="16" spans="2:25" x14ac:dyDescent="0.3"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</row>
    <row r="17" spans="2:25" x14ac:dyDescent="0.3">
      <c r="B17" s="149" t="s">
        <v>251</v>
      </c>
      <c r="C17" s="149"/>
      <c r="D17" s="149"/>
      <c r="E17" s="149"/>
      <c r="F17" s="154"/>
      <c r="G17" s="154"/>
      <c r="H17" s="150"/>
      <c r="I17" s="150"/>
      <c r="J17" s="150"/>
      <c r="K17" s="150"/>
      <c r="L17" s="150"/>
      <c r="M17" s="150"/>
      <c r="N17" s="154" t="s">
        <v>252</v>
      </c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</row>
    <row r="18" spans="2:25" x14ac:dyDescent="0.3">
      <c r="B18" s="179">
        <v>2021</v>
      </c>
      <c r="C18" s="179">
        <v>2022</v>
      </c>
      <c r="D18" s="179">
        <v>2023</v>
      </c>
      <c r="E18" s="179">
        <v>2024</v>
      </c>
      <c r="F18" s="184"/>
      <c r="G18" s="184"/>
      <c r="H18" s="150"/>
      <c r="I18" s="150"/>
      <c r="J18" s="150"/>
      <c r="K18" s="150"/>
      <c r="L18" s="150"/>
      <c r="M18" s="150"/>
      <c r="N18" s="179">
        <v>2021</v>
      </c>
      <c r="O18" s="179">
        <v>2022</v>
      </c>
      <c r="P18" s="179">
        <v>2023</v>
      </c>
      <c r="Q18" s="179">
        <v>2024</v>
      </c>
      <c r="R18" s="184"/>
      <c r="S18" s="150"/>
      <c r="T18" s="150"/>
      <c r="U18" s="150"/>
      <c r="V18" s="150"/>
      <c r="W18" s="150"/>
      <c r="X18" s="150"/>
      <c r="Y18" s="150"/>
    </row>
    <row r="19" spans="2:25" x14ac:dyDescent="0.3">
      <c r="B19" s="181">
        <f t="shared" ref="B19:E19" si="2">+H14*H24</f>
        <v>0.25062760933938882</v>
      </c>
      <c r="C19" s="181">
        <f t="shared" si="2"/>
        <v>0.54235934556226451</v>
      </c>
      <c r="D19" s="181">
        <f t="shared" si="2"/>
        <v>0.43944241160046765</v>
      </c>
      <c r="E19" s="181">
        <f t="shared" si="2"/>
        <v>0.13450356609159853</v>
      </c>
      <c r="F19" s="183"/>
      <c r="G19" s="183"/>
      <c r="H19" s="150"/>
      <c r="I19" s="150"/>
      <c r="J19" s="150"/>
      <c r="K19" s="150"/>
      <c r="L19" s="150"/>
      <c r="M19" s="150"/>
      <c r="N19" s="181">
        <f>INDICADORES!D48</f>
        <v>1.9173785423898189</v>
      </c>
      <c r="O19" s="181">
        <f>INDICADORES!E48</f>
        <v>2.1788190824289204</v>
      </c>
      <c r="P19" s="181">
        <f>INDICADORES!F48</f>
        <v>2.4138813036999633</v>
      </c>
      <c r="Q19" s="181">
        <f>INDICADORES!G48</f>
        <v>1.7389424237112479</v>
      </c>
      <c r="R19" s="169"/>
      <c r="S19" s="150"/>
      <c r="T19" s="150"/>
      <c r="U19" s="150"/>
      <c r="V19" s="150"/>
      <c r="W19" s="150"/>
      <c r="X19" s="150"/>
      <c r="Y19" s="150"/>
    </row>
    <row r="20" spans="2:25" x14ac:dyDescent="0.3">
      <c r="B20" s="187"/>
      <c r="C20" s="187"/>
      <c r="D20" s="187"/>
      <c r="E20" s="187"/>
      <c r="F20" s="188"/>
      <c r="G20" s="188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69"/>
      <c r="S20" s="150"/>
      <c r="T20" s="150"/>
      <c r="U20" s="150"/>
      <c r="V20" s="150"/>
      <c r="W20" s="150"/>
      <c r="X20" s="150"/>
      <c r="Y20" s="150"/>
    </row>
    <row r="21" spans="2:25" x14ac:dyDescent="0.3"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</row>
    <row r="22" spans="2:25" x14ac:dyDescent="0.3">
      <c r="B22" s="150"/>
      <c r="C22" s="150"/>
      <c r="D22" s="150"/>
      <c r="E22" s="150"/>
      <c r="F22" s="150"/>
      <c r="G22" s="150"/>
      <c r="H22" s="149" t="s">
        <v>253</v>
      </c>
      <c r="I22" s="149"/>
      <c r="J22" s="149"/>
      <c r="K22" s="149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</row>
    <row r="23" spans="2:25" x14ac:dyDescent="0.3">
      <c r="B23" s="150"/>
      <c r="C23" s="150"/>
      <c r="D23" s="150"/>
      <c r="E23" s="150"/>
      <c r="F23" s="150"/>
      <c r="G23" s="150"/>
      <c r="H23" s="179">
        <v>2021</v>
      </c>
      <c r="I23" s="179">
        <v>2022</v>
      </c>
      <c r="J23" s="179">
        <v>2023</v>
      </c>
      <c r="K23" s="179">
        <v>2024</v>
      </c>
      <c r="L23" s="184"/>
      <c r="M23" s="184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</row>
    <row r="24" spans="2:25" x14ac:dyDescent="0.3">
      <c r="B24" s="150"/>
      <c r="C24" s="150"/>
      <c r="D24" s="150"/>
      <c r="E24" s="150"/>
      <c r="F24" s="150"/>
      <c r="G24" s="150"/>
      <c r="H24" s="181">
        <f>INDICADORES!D64</f>
        <v>1.983272140866942</v>
      </c>
      <c r="I24" s="181">
        <f>INDICADORES!E64</f>
        <v>1.9274675070769607</v>
      </c>
      <c r="J24" s="181">
        <f>INDICADORES!F64</f>
        <v>1.4484074341280788</v>
      </c>
      <c r="K24" s="181">
        <f>INDICADORES!G64</f>
        <v>1.3746879632559663</v>
      </c>
      <c r="L24" s="189"/>
      <c r="M24" s="189"/>
      <c r="N24" s="150"/>
      <c r="O24" s="150"/>
      <c r="P24" s="150"/>
      <c r="Q24" s="150"/>
      <c r="R24" s="150"/>
      <c r="S24" s="184"/>
      <c r="T24" s="150"/>
      <c r="U24" s="150"/>
      <c r="V24" s="150"/>
      <c r="W24" s="150"/>
      <c r="X24" s="150"/>
      <c r="Y24" s="150"/>
    </row>
    <row r="25" spans="2:25" x14ac:dyDescent="0.3">
      <c r="B25" s="150"/>
      <c r="C25" s="150"/>
      <c r="D25" s="150"/>
      <c r="E25" s="150"/>
      <c r="F25" s="150"/>
      <c r="G25" s="150"/>
      <c r="H25" s="187"/>
      <c r="I25" s="187"/>
      <c r="J25" s="187"/>
      <c r="K25" s="187"/>
      <c r="L25" s="189"/>
      <c r="M25" s="189"/>
      <c r="N25" s="150"/>
      <c r="O25" s="150"/>
      <c r="P25" s="150"/>
      <c r="Q25" s="150"/>
      <c r="R25" s="150"/>
      <c r="S25" s="169"/>
      <c r="T25" s="150"/>
      <c r="U25" s="150"/>
      <c r="V25" s="150"/>
      <c r="W25" s="150"/>
      <c r="X25" s="150"/>
      <c r="Y25" s="150"/>
    </row>
    <row r="26" spans="2:25" x14ac:dyDescent="0.3">
      <c r="B26" s="150"/>
      <c r="C26" s="150"/>
      <c r="D26" s="150"/>
      <c r="E26" s="150"/>
      <c r="F26" s="150"/>
      <c r="G26" s="150"/>
      <c r="H26" s="150"/>
      <c r="I26" s="150"/>
      <c r="J26" s="185"/>
      <c r="K26" s="185"/>
      <c r="L26" s="185"/>
      <c r="M26" s="185"/>
      <c r="N26" s="150"/>
      <c r="O26" s="150"/>
      <c r="P26" s="150"/>
      <c r="Q26" s="150"/>
      <c r="R26" s="150"/>
      <c r="S26" s="169"/>
      <c r="T26" s="150"/>
      <c r="U26" s="150"/>
      <c r="V26" s="150"/>
      <c r="W26" s="150"/>
      <c r="X26" s="150"/>
      <c r="Y26" s="150"/>
    </row>
    <row r="27" spans="2:25" x14ac:dyDescent="0.3">
      <c r="B27" s="188"/>
      <c r="C27" s="188"/>
      <c r="D27" s="188"/>
      <c r="E27" s="188"/>
      <c r="F27" s="188"/>
      <c r="G27" s="188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6313-0FF0-4B51-B441-2ABF8F070583}">
  <dimension ref="A1:E30"/>
  <sheetViews>
    <sheetView topLeftCell="A3" workbookViewId="0">
      <selection activeCell="G17" sqref="G17"/>
    </sheetView>
  </sheetViews>
  <sheetFormatPr baseColWidth="10" defaultColWidth="11.5546875" defaultRowHeight="14.4" x14ac:dyDescent="0.3"/>
  <cols>
    <col min="1" max="1" width="39.6640625" customWidth="1"/>
    <col min="2" max="2" width="18.5546875" customWidth="1"/>
    <col min="3" max="3" width="17.6640625" customWidth="1"/>
    <col min="4" max="4" width="18.77734375" customWidth="1"/>
    <col min="5" max="5" width="16.109375" customWidth="1"/>
    <col min="6" max="6" width="13.5546875" customWidth="1"/>
    <col min="7" max="7" width="20.44140625" customWidth="1"/>
    <col min="8" max="8" width="18.77734375" customWidth="1"/>
  </cols>
  <sheetData>
    <row r="1" spans="1:5" ht="14.4" customHeight="1" x14ac:dyDescent="0.3">
      <c r="A1" s="206" t="s">
        <v>118</v>
      </c>
      <c r="B1" s="206"/>
      <c r="C1" s="206"/>
      <c r="D1" s="206"/>
      <c r="E1" s="206"/>
    </row>
    <row r="2" spans="1:5" ht="14.4" customHeight="1" x14ac:dyDescent="0.3">
      <c r="A2" s="206"/>
      <c r="B2" s="206"/>
      <c r="C2" s="206"/>
      <c r="D2" s="206"/>
      <c r="E2" s="206"/>
    </row>
    <row r="3" spans="1:5" ht="7.2" customHeight="1" x14ac:dyDescent="0.3">
      <c r="A3" s="207"/>
      <c r="B3" s="207"/>
      <c r="C3" s="207"/>
      <c r="D3" s="207"/>
      <c r="E3" s="207"/>
    </row>
    <row r="4" spans="1:5" x14ac:dyDescent="0.3">
      <c r="A4" s="208" t="s">
        <v>20</v>
      </c>
      <c r="B4" s="209"/>
      <c r="C4" s="209"/>
      <c r="D4" s="209"/>
      <c r="E4" s="210"/>
    </row>
    <row r="5" spans="1:5" ht="15" x14ac:dyDescent="0.3">
      <c r="A5" s="63" t="s">
        <v>119</v>
      </c>
      <c r="B5" s="64" t="s">
        <v>126</v>
      </c>
      <c r="C5" s="64">
        <v>45291</v>
      </c>
      <c r="D5" s="65">
        <v>44926</v>
      </c>
      <c r="E5" s="66" t="s">
        <v>120</v>
      </c>
    </row>
    <row r="6" spans="1:5" x14ac:dyDescent="0.3">
      <c r="A6" s="62" t="s">
        <v>19</v>
      </c>
      <c r="B6" s="16">
        <v>347421769.80000001</v>
      </c>
      <c r="C6" s="16">
        <v>24451624.449999999</v>
      </c>
      <c r="D6" s="16">
        <v>72418819.995999992</v>
      </c>
      <c r="E6" s="16">
        <v>24743955.915600002</v>
      </c>
    </row>
    <row r="7" spans="1:5" x14ac:dyDescent="0.3">
      <c r="A7" s="62" t="s">
        <v>21</v>
      </c>
      <c r="B7" s="14">
        <v>432685254.39999998</v>
      </c>
      <c r="C7" s="14">
        <v>347421769.80000001</v>
      </c>
      <c r="D7" s="16">
        <v>24478165.577599999</v>
      </c>
      <c r="E7" s="16">
        <v>72326199.72240001</v>
      </c>
    </row>
    <row r="8" spans="1:5" x14ac:dyDescent="0.3">
      <c r="A8" s="63" t="s">
        <v>121</v>
      </c>
      <c r="B8" s="17" t="s">
        <v>103</v>
      </c>
      <c r="C8" s="17" t="s">
        <v>104</v>
      </c>
      <c r="D8" s="16">
        <v>-47940654.41839999</v>
      </c>
      <c r="E8" s="16">
        <v>47582243.8068</v>
      </c>
    </row>
    <row r="9" spans="1:5" x14ac:dyDescent="0.3">
      <c r="A9" s="203" t="s">
        <v>122</v>
      </c>
      <c r="B9" s="203"/>
      <c r="C9" s="203"/>
      <c r="D9" s="203"/>
      <c r="E9" s="203"/>
    </row>
    <row r="10" spans="1:5" ht="5.4" customHeight="1" x14ac:dyDescent="0.3">
      <c r="A10" s="211"/>
      <c r="B10" s="211"/>
      <c r="C10" s="211"/>
      <c r="D10" s="211"/>
      <c r="E10" s="211"/>
    </row>
    <row r="11" spans="1:5" x14ac:dyDescent="0.3">
      <c r="A11" s="205" t="s">
        <v>127</v>
      </c>
      <c r="B11" s="205"/>
      <c r="C11" s="205"/>
      <c r="D11" s="205"/>
      <c r="E11" s="205"/>
    </row>
    <row r="12" spans="1:5" x14ac:dyDescent="0.3">
      <c r="A12" s="67" t="s">
        <v>22</v>
      </c>
      <c r="B12" s="16">
        <v>1732360345.75</v>
      </c>
      <c r="C12" s="16">
        <v>2473560020.02</v>
      </c>
      <c r="D12" s="16">
        <v>1361036635.4765999</v>
      </c>
      <c r="E12" s="16">
        <v>835441701.86100006</v>
      </c>
    </row>
    <row r="13" spans="1:5" x14ac:dyDescent="0.3">
      <c r="A13" s="67" t="s">
        <v>23</v>
      </c>
      <c r="B13" s="16">
        <v>-984657136.54999995</v>
      </c>
      <c r="C13" s="16">
        <v>-1272205206.25</v>
      </c>
      <c r="D13" s="16">
        <v>-1105894607.3739998</v>
      </c>
      <c r="E13" s="16">
        <v>-576263767.88340008</v>
      </c>
    </row>
    <row r="14" spans="1:5" x14ac:dyDescent="0.3">
      <c r="A14" s="62" t="s">
        <v>24</v>
      </c>
      <c r="B14" s="16">
        <v>-197208514.27000001</v>
      </c>
      <c r="C14" s="16">
        <v>-228373351.96000001</v>
      </c>
      <c r="D14" s="16">
        <v>-148159490.74699998</v>
      </c>
      <c r="E14" s="16">
        <v>-127715103.33420001</v>
      </c>
    </row>
    <row r="15" spans="1:5" x14ac:dyDescent="0.3">
      <c r="A15" s="62" t="s">
        <v>25</v>
      </c>
      <c r="B15" s="16">
        <v>-181933866.22999999</v>
      </c>
      <c r="C15" s="16">
        <v>-243474638.50999999</v>
      </c>
      <c r="D15" s="16">
        <v>-65110301.827399991</v>
      </c>
      <c r="E15" s="16">
        <v>-26943651.861000001</v>
      </c>
    </row>
    <row r="16" spans="1:5" x14ac:dyDescent="0.3">
      <c r="A16" s="62" t="s">
        <v>26</v>
      </c>
      <c r="B16" s="16">
        <v>-39889658.479999997</v>
      </c>
      <c r="C16" s="16">
        <v>-54605110.350000001</v>
      </c>
      <c r="D16" s="16">
        <v>-39462487.551799998</v>
      </c>
      <c r="E16" s="16">
        <v>-22017775.613400001</v>
      </c>
    </row>
    <row r="17" spans="1:5" x14ac:dyDescent="0.3">
      <c r="A17" s="62" t="s">
        <v>27</v>
      </c>
      <c r="B17" s="17">
        <v>-247634059.25999999</v>
      </c>
      <c r="C17" s="17">
        <v>-188541211.03999999</v>
      </c>
      <c r="D17" s="16">
        <v>-28357130.483599994</v>
      </c>
      <c r="E17" s="16">
        <v>-9741488.6772000007</v>
      </c>
    </row>
    <row r="18" spans="1:5" ht="23.4" customHeight="1" x14ac:dyDescent="0.3">
      <c r="A18" s="63" t="s">
        <v>123</v>
      </c>
      <c r="B18" s="17" t="s">
        <v>105</v>
      </c>
      <c r="C18" s="17" t="s">
        <v>106</v>
      </c>
      <c r="D18" s="16">
        <v>-25947382.507199995</v>
      </c>
      <c r="E18" s="16">
        <v>72759914.49180001</v>
      </c>
    </row>
    <row r="19" spans="1:5" ht="7.2" customHeight="1" x14ac:dyDescent="0.3">
      <c r="A19" s="202"/>
      <c r="B19" s="202"/>
      <c r="C19" s="202"/>
      <c r="D19" s="202"/>
      <c r="E19" s="202"/>
    </row>
    <row r="20" spans="1:5" x14ac:dyDescent="0.3">
      <c r="A20" s="204" t="s">
        <v>28</v>
      </c>
      <c r="B20" s="204"/>
      <c r="C20" s="204"/>
      <c r="D20" s="204"/>
      <c r="E20" s="204"/>
    </row>
    <row r="21" spans="1:5" x14ac:dyDescent="0.3">
      <c r="A21" s="62" t="s">
        <v>29</v>
      </c>
      <c r="B21" s="16">
        <v>213.09</v>
      </c>
      <c r="C21" s="16">
        <v>1342.86</v>
      </c>
      <c r="D21" s="16">
        <v>383.83259999999996</v>
      </c>
      <c r="E21" s="16">
        <v>190.31460000000001</v>
      </c>
    </row>
    <row r="22" spans="1:5" x14ac:dyDescent="0.3">
      <c r="A22" s="62" t="s">
        <v>30</v>
      </c>
      <c r="B22" s="16">
        <v>7286640.25</v>
      </c>
      <c r="C22" s="16">
        <v>-16129631.109999999</v>
      </c>
      <c r="D22" s="16">
        <v>-20004835.8796</v>
      </c>
      <c r="E22" s="16"/>
    </row>
    <row r="23" spans="1:5" x14ac:dyDescent="0.3">
      <c r="A23" s="62" t="s">
        <v>31</v>
      </c>
      <c r="B23" s="17">
        <v>-15757506.039999999</v>
      </c>
      <c r="C23" s="17">
        <v>45747427.340000004</v>
      </c>
      <c r="D23" s="16">
        <v>-26368944.323599994</v>
      </c>
      <c r="E23" s="16"/>
    </row>
    <row r="24" spans="1:5" ht="28.8" x14ac:dyDescent="0.3">
      <c r="A24" s="63" t="s">
        <v>124</v>
      </c>
      <c r="B24" s="17" t="s">
        <v>107</v>
      </c>
      <c r="C24" s="17" t="s">
        <v>108</v>
      </c>
      <c r="D24" s="16">
        <v>-46373396.3706</v>
      </c>
      <c r="E24" s="16">
        <v>190.31460000000001</v>
      </c>
    </row>
    <row r="25" spans="1:5" ht="6.6" customHeight="1" x14ac:dyDescent="0.3">
      <c r="A25" s="202"/>
      <c r="B25" s="202"/>
      <c r="C25" s="202"/>
      <c r="D25" s="202"/>
      <c r="E25" s="202"/>
    </row>
    <row r="26" spans="1:5" x14ac:dyDescent="0.3">
      <c r="A26" s="205" t="s">
        <v>128</v>
      </c>
      <c r="B26" s="205"/>
      <c r="C26" s="205"/>
      <c r="D26" s="205"/>
      <c r="E26" s="205"/>
    </row>
    <row r="27" spans="1:5" x14ac:dyDescent="0.3">
      <c r="A27" s="62" t="s">
        <v>32</v>
      </c>
      <c r="B27" s="16">
        <v>-25109824.760000002</v>
      </c>
      <c r="C27" s="16">
        <v>-88886958.670000002</v>
      </c>
      <c r="D27" s="16">
        <v>-39284572.127399996</v>
      </c>
      <c r="E27" s="16">
        <v>-16863723.008400001</v>
      </c>
    </row>
    <row r="28" spans="1:5" x14ac:dyDescent="0.3">
      <c r="A28" s="62" t="s">
        <v>33</v>
      </c>
      <c r="B28" s="17">
        <v>37806851.100000001</v>
      </c>
      <c r="C28" s="17">
        <v>12627682.300000001</v>
      </c>
      <c r="D28" s="16">
        <v>63664696.586799994</v>
      </c>
      <c r="E28" s="16">
        <v>-8314137.991200001</v>
      </c>
    </row>
    <row r="29" spans="1:5" x14ac:dyDescent="0.3">
      <c r="A29" s="63" t="s">
        <v>125</v>
      </c>
      <c r="B29" s="17" t="s">
        <v>109</v>
      </c>
      <c r="C29" s="17" t="s">
        <v>110</v>
      </c>
      <c r="D29" s="16">
        <v>24380124.459399998</v>
      </c>
      <c r="E29" s="16">
        <v>-25177860.999600001</v>
      </c>
    </row>
    <row r="30" spans="1:5" x14ac:dyDescent="0.3">
      <c r="A30" s="68" t="s">
        <v>121</v>
      </c>
      <c r="B30" s="14" t="s">
        <v>103</v>
      </c>
      <c r="C30" s="14" t="s">
        <v>104</v>
      </c>
      <c r="D30" s="16">
        <v>-47940654.41839999</v>
      </c>
      <c r="E30" s="16">
        <v>47582243.8068</v>
      </c>
    </row>
  </sheetData>
  <mergeCells count="10">
    <mergeCell ref="A1:E2"/>
    <mergeCell ref="A3:E3"/>
    <mergeCell ref="A4:E4"/>
    <mergeCell ref="A10:E10"/>
    <mergeCell ref="A19:E19"/>
    <mergeCell ref="A25:E25"/>
    <mergeCell ref="A9:E9"/>
    <mergeCell ref="A20:E20"/>
    <mergeCell ref="A26:E26"/>
    <mergeCell ref="A11:E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0D6B-2151-471C-8AFB-D50D5B8CD0F0}">
  <dimension ref="A1:S30"/>
  <sheetViews>
    <sheetView topLeftCell="A17" zoomScale="115" zoomScaleNormal="70" workbookViewId="0">
      <selection activeCell="K6" sqref="K6"/>
    </sheetView>
  </sheetViews>
  <sheetFormatPr baseColWidth="10" defaultColWidth="11.5546875" defaultRowHeight="14.4" x14ac:dyDescent="0.3"/>
  <cols>
    <col min="1" max="1" width="11.44140625" bestFit="1" customWidth="1"/>
    <col min="2" max="2" width="18.109375" customWidth="1"/>
    <col min="3" max="3" width="19" customWidth="1"/>
    <col min="4" max="5" width="19" bestFit="1" customWidth="1"/>
    <col min="6" max="6" width="13.6640625" bestFit="1" customWidth="1"/>
    <col min="9" max="9" width="21.5546875" customWidth="1"/>
    <col min="10" max="10" width="20.21875" customWidth="1"/>
    <col min="11" max="12" width="20.44140625" customWidth="1"/>
    <col min="13" max="13" width="20.33203125" customWidth="1"/>
    <col min="14" max="14" width="21.109375" customWidth="1"/>
    <col min="15" max="15" width="19.33203125" customWidth="1"/>
  </cols>
  <sheetData>
    <row r="1" spans="1:19" x14ac:dyDescent="0.3">
      <c r="A1" s="23" t="s">
        <v>52</v>
      </c>
      <c r="B1" s="60">
        <v>44561</v>
      </c>
      <c r="C1" s="23" t="s">
        <v>51</v>
      </c>
      <c r="D1" s="24">
        <v>45291</v>
      </c>
      <c r="E1" s="24">
        <v>45657</v>
      </c>
      <c r="H1" s="11"/>
      <c r="I1" s="27">
        <v>2024</v>
      </c>
      <c r="J1" s="27" t="s">
        <v>39</v>
      </c>
      <c r="K1" s="27">
        <v>2023</v>
      </c>
      <c r="L1" s="27" t="s">
        <v>112</v>
      </c>
      <c r="M1" s="27">
        <v>2022</v>
      </c>
      <c r="N1" s="61" t="s">
        <v>117</v>
      </c>
      <c r="O1" s="27">
        <v>2021</v>
      </c>
    </row>
    <row r="2" spans="1:19" ht="26.4" customHeight="1" x14ac:dyDescent="0.3">
      <c r="A2" s="18" t="s">
        <v>57</v>
      </c>
      <c r="B2" s="8">
        <v>420906915.88680005</v>
      </c>
      <c r="C2" s="9">
        <v>1028481301.4026245</v>
      </c>
      <c r="D2" s="9">
        <v>837726384.05999994</v>
      </c>
      <c r="E2" s="9">
        <v>654889986.37</v>
      </c>
      <c r="H2" s="91" t="s">
        <v>139</v>
      </c>
      <c r="I2" s="92">
        <v>1674689775.47</v>
      </c>
      <c r="J2" s="3"/>
      <c r="K2" s="92">
        <v>2417205313.3400002</v>
      </c>
      <c r="L2" s="3"/>
      <c r="M2" s="15">
        <v>1649366946.2357996</v>
      </c>
      <c r="O2" s="15">
        <v>732841914.47040009</v>
      </c>
    </row>
    <row r="3" spans="1:19" ht="28.8" x14ac:dyDescent="0.3">
      <c r="A3" s="18" t="s">
        <v>58</v>
      </c>
      <c r="B3" s="8">
        <v>3921119.0970000005</v>
      </c>
      <c r="C3" s="9">
        <v>2958945.3850419591</v>
      </c>
      <c r="D3" s="9">
        <v>17572412.620000001</v>
      </c>
      <c r="E3" s="9">
        <v>5077835.5599999996</v>
      </c>
      <c r="H3" s="18" t="s">
        <v>53</v>
      </c>
      <c r="I3" s="15">
        <f>SUM(E2:E14)</f>
        <v>1026101159.0599997</v>
      </c>
      <c r="J3" s="3">
        <f>(I3-K3)/K3</f>
        <v>-0.22684469045370059</v>
      </c>
      <c r="K3" s="15">
        <f>SUM(D2:D14)</f>
        <v>1327160463.6099999</v>
      </c>
      <c r="L3" s="3">
        <f>(K3-M3)/M3</f>
        <v>3.7084322419086831E-2</v>
      </c>
      <c r="M3" s="15">
        <f>SUM(C2:C14)</f>
        <v>1279703525.4706059</v>
      </c>
      <c r="N3" s="30">
        <f>(M3-O3)/O3</f>
        <v>1.0359704617406686</v>
      </c>
      <c r="O3" s="15">
        <f>SUM(B2:B14)</f>
        <v>628547196.29700005</v>
      </c>
      <c r="S3" s="1">
        <v>32626641</v>
      </c>
    </row>
    <row r="4" spans="1:19" ht="28.8" x14ac:dyDescent="0.3">
      <c r="A4" s="18" t="s">
        <v>59</v>
      </c>
      <c r="B4" s="8">
        <v>19938272.931600001</v>
      </c>
      <c r="C4" s="9">
        <v>32207002.137720801</v>
      </c>
      <c r="D4" s="9">
        <v>92194753.310000002</v>
      </c>
      <c r="E4" s="9">
        <v>55428694.689999998</v>
      </c>
      <c r="H4" s="22" t="s">
        <v>54</v>
      </c>
      <c r="I4" s="26">
        <f>SUM(E15)</f>
        <v>643876.51</v>
      </c>
      <c r="J4" s="3">
        <f>(I4-K4)/K4</f>
        <v>5.8265709265313777E-2</v>
      </c>
      <c r="K4" s="26">
        <f>SUM(D15)</f>
        <v>608426.13</v>
      </c>
      <c r="L4" s="3">
        <f t="shared" ref="L4:L6" si="0">(K4-M4)/M4</f>
        <v>-0.91562972883049376</v>
      </c>
      <c r="M4" s="26">
        <f>SUM(C15)</f>
        <v>7211380.5202501453</v>
      </c>
      <c r="N4" s="30">
        <f t="shared" ref="N4:N6" si="1">(M4-O4)/O4</f>
        <v>8.7398119065768096</v>
      </c>
      <c r="O4" s="26">
        <f>SUM(B15)</f>
        <v>740402.44200000004</v>
      </c>
      <c r="S4" s="1">
        <v>10111624</v>
      </c>
    </row>
    <row r="5" spans="1:19" ht="43.2" x14ac:dyDescent="0.3">
      <c r="A5" s="18" t="s">
        <v>60</v>
      </c>
      <c r="B5" s="8">
        <v>4714505.1371999998</v>
      </c>
      <c r="C5" s="9">
        <v>3411775.5933972374</v>
      </c>
      <c r="D5" s="9">
        <v>1938372.84</v>
      </c>
      <c r="E5" s="9">
        <v>4838092.07</v>
      </c>
      <c r="H5" s="20" t="s">
        <v>55</v>
      </c>
      <c r="I5" s="15">
        <f>SUM(E16:E22)+S3+S4</f>
        <v>152236168.5</v>
      </c>
      <c r="J5" s="3">
        <f>(I5-K5)/K5</f>
        <v>-0.19222632462014233</v>
      </c>
      <c r="K5" s="26">
        <f>SUM(D16:D22)+S6+S7</f>
        <v>188463889.25513145</v>
      </c>
      <c r="L5" s="3">
        <f t="shared" si="0"/>
        <v>0.86216203947313996</v>
      </c>
      <c r="M5" s="26">
        <f>SUM(C16:C22)</f>
        <v>101207029.92552324</v>
      </c>
      <c r="N5" s="30">
        <f t="shared" si="1"/>
        <v>1.2957028236269386</v>
      </c>
      <c r="O5" s="26">
        <f>SUM(B16:B22)</f>
        <v>44085422.9406</v>
      </c>
    </row>
    <row r="6" spans="1:19" ht="43.2" x14ac:dyDescent="0.3">
      <c r="A6" s="18" t="s">
        <v>61</v>
      </c>
      <c r="B6" s="8">
        <v>795978.23759999999</v>
      </c>
      <c r="C6" s="9">
        <v>2593082.5002030078</v>
      </c>
      <c r="D6" s="9">
        <v>3539141.05</v>
      </c>
      <c r="E6" s="9">
        <v>4399508.41</v>
      </c>
      <c r="H6" s="25" t="s">
        <v>56</v>
      </c>
      <c r="I6" s="26">
        <f>SUM(E23:E29)</f>
        <v>401210536.20999998</v>
      </c>
      <c r="J6" s="3">
        <f>(I6-K6)/K6</f>
        <v>-0.25805790743365281</v>
      </c>
      <c r="K6" s="26">
        <f>SUM(D23:D29)</f>
        <v>540757210.34000003</v>
      </c>
      <c r="L6" s="3">
        <f t="shared" si="0"/>
        <v>-15.015091056904152</v>
      </c>
      <c r="M6" s="26">
        <f>SUM(C23:C29)</f>
        <v>-38583924.153215602</v>
      </c>
      <c r="N6" s="30">
        <f t="shared" si="1"/>
        <v>-0.24064400674734573</v>
      </c>
      <c r="O6" s="26">
        <f>SUM(B23:B29)</f>
        <v>-50811377.662199989</v>
      </c>
      <c r="P6" s="3"/>
      <c r="S6" s="10">
        <v>43062718.503566481</v>
      </c>
    </row>
    <row r="7" spans="1:19" ht="28.8" x14ac:dyDescent="0.3">
      <c r="A7" s="18" t="s">
        <v>62</v>
      </c>
      <c r="B7" s="8">
        <v>545886.0048</v>
      </c>
      <c r="C7" s="9">
        <v>2969573.4042093824</v>
      </c>
      <c r="D7" s="9">
        <v>2616194.7999999998</v>
      </c>
      <c r="E7" s="9">
        <v>20962424.780000001</v>
      </c>
      <c r="S7" s="10">
        <v>11464542.44156499</v>
      </c>
    </row>
    <row r="8" spans="1:19" x14ac:dyDescent="0.3">
      <c r="A8" s="18" t="s">
        <v>63</v>
      </c>
      <c r="B8" s="8">
        <v>3909811.1418000003</v>
      </c>
      <c r="C8" s="9">
        <v>17780526.833685052</v>
      </c>
      <c r="D8" s="9">
        <v>41428731.689999998</v>
      </c>
      <c r="E8" s="9">
        <v>30111700.18</v>
      </c>
    </row>
    <row r="9" spans="1:19" ht="28.8" x14ac:dyDescent="0.3">
      <c r="A9" s="18" t="s">
        <v>64</v>
      </c>
      <c r="B9" s="8">
        <v>109416752.1234</v>
      </c>
      <c r="C9" s="9">
        <v>127722536.37397221</v>
      </c>
      <c r="D9" s="9">
        <v>215313592.56</v>
      </c>
      <c r="E9" s="9">
        <v>163133207.40000001</v>
      </c>
    </row>
    <row r="10" spans="1:19" ht="28.8" x14ac:dyDescent="0.3">
      <c r="A10" s="18" t="s">
        <v>65</v>
      </c>
      <c r="B10" s="8">
        <v>35612377.682400003</v>
      </c>
      <c r="C10" s="9">
        <v>35828706.484581336</v>
      </c>
      <c r="D10" s="9">
        <v>57322712.189999998</v>
      </c>
      <c r="E10" s="9">
        <v>50558124.520000003</v>
      </c>
    </row>
    <row r="11" spans="1:19" ht="28.8" x14ac:dyDescent="0.3">
      <c r="A11" s="18" t="s">
        <v>66</v>
      </c>
      <c r="B11" s="8">
        <v>18171377.811600003</v>
      </c>
      <c r="C11" s="9">
        <v>23218785.810318235</v>
      </c>
      <c r="D11" s="9">
        <v>30166318.539999999</v>
      </c>
      <c r="E11" s="9">
        <v>32205312.899999999</v>
      </c>
      <c r="I11" s="42"/>
    </row>
    <row r="12" spans="1:19" ht="28.8" x14ac:dyDescent="0.3">
      <c r="A12" s="18" t="s">
        <v>67</v>
      </c>
      <c r="B12" s="8">
        <v>0</v>
      </c>
      <c r="C12" s="9">
        <v>0</v>
      </c>
      <c r="D12" s="9">
        <v>24986209.07</v>
      </c>
      <c r="E12" s="9">
        <v>956142.52</v>
      </c>
      <c r="I12" s="29"/>
    </row>
    <row r="13" spans="1:19" x14ac:dyDescent="0.3">
      <c r="A13" s="18" t="s">
        <v>68</v>
      </c>
      <c r="B13" s="8">
        <v>0</v>
      </c>
      <c r="C13" s="9">
        <v>2531289.5448522847</v>
      </c>
      <c r="D13" s="9">
        <v>2355640.88</v>
      </c>
      <c r="E13" s="9">
        <v>3362524.4</v>
      </c>
    </row>
    <row r="14" spans="1:19" x14ac:dyDescent="0.3">
      <c r="A14" s="18" t="s">
        <v>69</v>
      </c>
      <c r="B14" s="8">
        <v>10614200.242800001</v>
      </c>
      <c r="C14" s="9">
        <v>0</v>
      </c>
      <c r="D14" s="9"/>
      <c r="E14" s="9">
        <v>177605.26</v>
      </c>
    </row>
    <row r="15" spans="1:19" ht="28.8" x14ac:dyDescent="0.3">
      <c r="A15" s="19" t="s">
        <v>70</v>
      </c>
      <c r="B15" s="8">
        <v>740402.44200000004</v>
      </c>
      <c r="C15" s="9">
        <v>7211380.5202501453</v>
      </c>
      <c r="D15" s="9">
        <v>608426.13</v>
      </c>
      <c r="E15" s="9">
        <v>643876.51</v>
      </c>
    </row>
    <row r="16" spans="1:19" x14ac:dyDescent="0.3">
      <c r="A16" s="20" t="s">
        <v>71</v>
      </c>
      <c r="B16" s="8">
        <v>2377879.6338000004</v>
      </c>
      <c r="C16" s="9">
        <v>7825943.6876167916</v>
      </c>
      <c r="D16" s="9">
        <v>5335046.5999999996</v>
      </c>
      <c r="E16" s="9">
        <v>3834387.06</v>
      </c>
    </row>
    <row r="17" spans="1:5" ht="28.8" x14ac:dyDescent="0.3">
      <c r="A17" s="20" t="s">
        <v>72</v>
      </c>
      <c r="B17" s="8">
        <v>0</v>
      </c>
      <c r="C17" s="9">
        <v>376490.03295186488</v>
      </c>
      <c r="D17" s="9">
        <v>218686.66</v>
      </c>
      <c r="E17" s="9">
        <v>164999.51</v>
      </c>
    </row>
    <row r="18" spans="1:5" ht="28.8" x14ac:dyDescent="0.3">
      <c r="A18" s="20" t="s">
        <v>73</v>
      </c>
      <c r="B18" s="8">
        <v>12872322.160200002</v>
      </c>
      <c r="C18" s="9">
        <v>9931179.9583666269</v>
      </c>
      <c r="D18" s="9">
        <v>7665424.5899999999</v>
      </c>
      <c r="E18" s="9">
        <v>12873015.99</v>
      </c>
    </row>
    <row r="19" spans="1:5" ht="43.2" x14ac:dyDescent="0.3">
      <c r="A19" s="20" t="s">
        <v>74</v>
      </c>
      <c r="B19" s="8">
        <v>22013062.496399999</v>
      </c>
      <c r="C19" s="9">
        <v>65904080.924249172</v>
      </c>
      <c r="D19" s="9">
        <v>96688210.530000001</v>
      </c>
      <c r="E19" s="9">
        <v>75361039.150000006</v>
      </c>
    </row>
    <row r="20" spans="1:5" ht="28.8" x14ac:dyDescent="0.3">
      <c r="A20" s="20" t="s">
        <v>75</v>
      </c>
      <c r="B20" s="8">
        <v>5454659.5668000001</v>
      </c>
      <c r="C20" s="9">
        <v>16124389.935942981</v>
      </c>
      <c r="D20" s="9">
        <v>23055537.190000001</v>
      </c>
      <c r="E20" s="9">
        <v>16392812.689999999</v>
      </c>
    </row>
    <row r="21" spans="1:5" ht="28.8" x14ac:dyDescent="0.3">
      <c r="A21" s="20" t="s">
        <v>76</v>
      </c>
      <c r="B21" s="8">
        <v>1035788.6682000001</v>
      </c>
      <c r="C21" s="9">
        <v>779562.42835542059</v>
      </c>
      <c r="D21" s="9">
        <v>778419.08</v>
      </c>
      <c r="E21" s="9">
        <v>652122.66</v>
      </c>
    </row>
    <row r="22" spans="1:5" ht="28.8" x14ac:dyDescent="0.3">
      <c r="A22" s="20" t="s">
        <v>77</v>
      </c>
      <c r="B22" s="8">
        <v>331710.41519999999</v>
      </c>
      <c r="C22" s="9">
        <v>265382.95804037515</v>
      </c>
      <c r="D22" s="9">
        <v>195303.66</v>
      </c>
      <c r="E22" s="9">
        <v>219526.44</v>
      </c>
    </row>
    <row r="23" spans="1:5" ht="28.8" x14ac:dyDescent="0.3">
      <c r="A23" s="21" t="s">
        <v>111</v>
      </c>
      <c r="B23" s="8">
        <v>5882165.6190000009</v>
      </c>
      <c r="C23" s="9">
        <v>231119.85468443442</v>
      </c>
      <c r="D23" s="9"/>
      <c r="E23" s="9"/>
    </row>
    <row r="24" spans="1:5" ht="43.2" x14ac:dyDescent="0.3">
      <c r="A24" s="21" t="s">
        <v>78</v>
      </c>
      <c r="B24" s="8">
        <v>5867594.9922000002</v>
      </c>
      <c r="C24" s="9">
        <v>10563811.344102051</v>
      </c>
      <c r="D24" s="9">
        <v>36641868.509999998</v>
      </c>
      <c r="E24" s="9">
        <v>22976205.199999999</v>
      </c>
    </row>
    <row r="25" spans="1:5" ht="43.2" x14ac:dyDescent="0.3">
      <c r="A25" s="21" t="s">
        <v>79</v>
      </c>
      <c r="B25" s="8">
        <v>0</v>
      </c>
      <c r="C25" s="9">
        <v>0</v>
      </c>
      <c r="D25" s="9">
        <v>1347200.56</v>
      </c>
      <c r="E25" s="9">
        <v>4948586.93</v>
      </c>
    </row>
    <row r="26" spans="1:5" ht="28.8" x14ac:dyDescent="0.3">
      <c r="A26" s="21" t="s">
        <v>80</v>
      </c>
      <c r="B26" s="8">
        <v>0</v>
      </c>
      <c r="C26" s="9">
        <v>6556482.6076193592</v>
      </c>
      <c r="D26" s="9"/>
      <c r="E26" s="9">
        <v>8158499.4100000001</v>
      </c>
    </row>
    <row r="27" spans="1:5" ht="28.8" x14ac:dyDescent="0.3">
      <c r="A27" s="21" t="s">
        <v>81</v>
      </c>
      <c r="B27" s="8">
        <v>6519386.9700000007</v>
      </c>
      <c r="C27" s="9">
        <v>5071500.3864417505</v>
      </c>
      <c r="D27" s="9">
        <v>6713540.4199999999</v>
      </c>
      <c r="E27" s="9">
        <v>528290.66</v>
      </c>
    </row>
    <row r="28" spans="1:5" x14ac:dyDescent="0.3">
      <c r="A28" s="21" t="s">
        <v>82</v>
      </c>
      <c r="B28" s="8">
        <v>0</v>
      </c>
      <c r="C28" s="9">
        <v>198314.59170890794</v>
      </c>
      <c r="D28" s="9">
        <v>1907.61</v>
      </c>
      <c r="E28" s="9"/>
    </row>
    <row r="29" spans="1:5" x14ac:dyDescent="0.3">
      <c r="A29" s="21" t="s">
        <v>83</v>
      </c>
      <c r="B29" s="8">
        <v>-69080525.243399993</v>
      </c>
      <c r="C29" s="9">
        <v>-61205152.937772103</v>
      </c>
      <c r="D29" s="9">
        <v>496052693.24000001</v>
      </c>
      <c r="E29" s="9">
        <v>364598954.00999999</v>
      </c>
    </row>
    <row r="30" spans="1:5" x14ac:dyDescent="0.3">
      <c r="A30" s="10" t="s">
        <v>84</v>
      </c>
      <c r="B30" s="8">
        <v>622561644.01740003</v>
      </c>
      <c r="C30" s="9">
        <v>1349538011.7631636</v>
      </c>
      <c r="D30" s="9">
        <v>2002462728.3900001</v>
      </c>
      <c r="E30" s="9">
        <v>1537453475.28</v>
      </c>
    </row>
  </sheetData>
  <conditionalFormatting sqref="J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0CE3-12EE-45B0-AD42-6F9BD6BBA2EE}">
  <dimension ref="A1:H30"/>
  <sheetViews>
    <sheetView zoomScale="85" zoomScaleNormal="85" workbookViewId="0">
      <selection activeCell="D12" sqref="D12"/>
    </sheetView>
  </sheetViews>
  <sheetFormatPr baseColWidth="10" defaultColWidth="11.5546875" defaultRowHeight="14.4" x14ac:dyDescent="0.3"/>
  <cols>
    <col min="1" max="1" width="35" customWidth="1"/>
    <col min="2" max="2" width="18.5546875" bestFit="1" customWidth="1"/>
    <col min="3" max="3" width="21.44140625" customWidth="1"/>
    <col min="4" max="4" width="19.109375" customWidth="1"/>
    <col min="5" max="5" width="17.5546875" customWidth="1"/>
    <col min="6" max="6" width="26.109375" customWidth="1"/>
    <col min="7" max="7" width="18.33203125" customWidth="1"/>
    <col min="8" max="8" width="19.21875" customWidth="1"/>
  </cols>
  <sheetData>
    <row r="1" spans="1:8" x14ac:dyDescent="0.3">
      <c r="A1" s="18" t="s">
        <v>85</v>
      </c>
      <c r="B1" s="18" t="s">
        <v>86</v>
      </c>
      <c r="C1" s="28" t="s">
        <v>130</v>
      </c>
      <c r="D1" s="18" t="s">
        <v>87</v>
      </c>
      <c r="E1" s="18" t="s">
        <v>131</v>
      </c>
      <c r="F1" s="43">
        <v>44926</v>
      </c>
      <c r="G1" s="18" t="s">
        <v>132</v>
      </c>
      <c r="H1" s="44">
        <v>44561</v>
      </c>
    </row>
    <row r="2" spans="1:8" ht="15.6" x14ac:dyDescent="0.3">
      <c r="A2" s="45" t="s">
        <v>88</v>
      </c>
      <c r="B2" s="46"/>
      <c r="C2" s="69"/>
      <c r="D2" s="46"/>
      <c r="E2" s="28"/>
      <c r="F2" s="45"/>
      <c r="G2" s="28"/>
      <c r="H2" s="28"/>
    </row>
    <row r="3" spans="1:8" x14ac:dyDescent="0.3">
      <c r="A3" s="45" t="s">
        <v>0</v>
      </c>
      <c r="B3" s="46">
        <v>432685254.39999998</v>
      </c>
      <c r="C3" s="3">
        <f>(B3-D3)/D3</f>
        <v>0.24541779477170794</v>
      </c>
      <c r="D3" s="46">
        <v>347421769.80000001</v>
      </c>
      <c r="E3" s="3">
        <v>1</v>
      </c>
      <c r="F3" s="47">
        <v>24455708</v>
      </c>
      <c r="G3" s="3">
        <f>(F3-H3)/H3</f>
        <v>-0.6623672908196141</v>
      </c>
      <c r="H3" s="48">
        <v>72432875.533199996</v>
      </c>
    </row>
    <row r="4" spans="1:8" x14ac:dyDescent="0.3">
      <c r="A4" s="45" t="s">
        <v>1</v>
      </c>
      <c r="B4" s="46">
        <v>312002468.41000003</v>
      </c>
      <c r="C4" s="3">
        <f t="shared" ref="C4:C30" si="0">(B4-D4)/D4</f>
        <v>4.1990928719831906E-2</v>
      </c>
      <c r="D4" s="46">
        <v>299429159.89999998</v>
      </c>
      <c r="E4" s="3">
        <f>(D4-F4)/F4</f>
        <v>-0.30152469110174601</v>
      </c>
      <c r="F4" s="47">
        <v>428689684.63939995</v>
      </c>
      <c r="G4" s="3">
        <f t="shared" ref="G4:G30" si="1">(F4-H4)/H4</f>
        <v>10.623284218865603</v>
      </c>
      <c r="H4" s="48">
        <v>36881975.573100001</v>
      </c>
    </row>
    <row r="5" spans="1:8" x14ac:dyDescent="0.3">
      <c r="A5" s="45" t="s">
        <v>2</v>
      </c>
      <c r="B5" s="46">
        <v>117908902.8</v>
      </c>
      <c r="C5" s="3">
        <f t="shared" si="0"/>
        <v>9.001707185536989E-2</v>
      </c>
      <c r="D5" s="46">
        <v>108171611.11</v>
      </c>
      <c r="E5" s="3">
        <f t="shared" ref="E5:E30" si="2">(D5-F5)/F5</f>
        <v>0.3808420118406845</v>
      </c>
      <c r="F5" s="47">
        <v>78337427.585799992</v>
      </c>
      <c r="G5" s="3">
        <f t="shared" si="1"/>
        <v>0.22238164556039083</v>
      </c>
      <c r="H5" s="48">
        <v>64085899.743599996</v>
      </c>
    </row>
    <row r="6" spans="1:8" x14ac:dyDescent="0.3">
      <c r="A6" s="45" t="s">
        <v>4</v>
      </c>
      <c r="B6" s="46">
        <v>29288207.059999999</v>
      </c>
      <c r="C6" s="3">
        <f t="shared" si="0"/>
        <v>4.8087893541208979</v>
      </c>
      <c r="D6" s="46">
        <v>5042050.12</v>
      </c>
      <c r="E6" s="3">
        <f t="shared" si="2"/>
        <v>-0.34503380682920542</v>
      </c>
      <c r="F6" s="47">
        <v>7698183.7727999985</v>
      </c>
      <c r="G6" s="3">
        <f t="shared" si="1"/>
        <v>-7.6122328415765411E-2</v>
      </c>
      <c r="H6" s="48">
        <v>8332470.8558</v>
      </c>
    </row>
    <row r="7" spans="1:8" x14ac:dyDescent="0.3">
      <c r="A7" s="45" t="s">
        <v>3</v>
      </c>
      <c r="B7" s="46"/>
      <c r="C7" s="3">
        <f t="shared" si="0"/>
        <v>-1</v>
      </c>
      <c r="D7" s="46">
        <v>8710545.0999999996</v>
      </c>
      <c r="E7" s="3">
        <f t="shared" si="2"/>
        <v>-0.38900093294427374</v>
      </c>
      <c r="F7" s="47">
        <v>14256233.060999999</v>
      </c>
      <c r="G7" s="3">
        <v>1</v>
      </c>
      <c r="H7" s="48"/>
    </row>
    <row r="8" spans="1:8" x14ac:dyDescent="0.3">
      <c r="A8" s="74" t="s">
        <v>133</v>
      </c>
      <c r="B8" s="78">
        <v>891884832.66999996</v>
      </c>
      <c r="C8" s="79">
        <f t="shared" si="0"/>
        <v>0.16013745875776589</v>
      </c>
      <c r="D8" s="78">
        <v>768775136.02999997</v>
      </c>
      <c r="E8" s="79">
        <f t="shared" si="2"/>
        <v>0.38903545006068707</v>
      </c>
      <c r="F8" s="80">
        <v>553459694.6365999</v>
      </c>
      <c r="G8" s="79">
        <f t="shared" si="1"/>
        <v>2.0454514009159883</v>
      </c>
      <c r="H8" s="81">
        <v>181733221.70569998</v>
      </c>
    </row>
    <row r="9" spans="1:8" x14ac:dyDescent="0.3">
      <c r="A9" s="45" t="s">
        <v>89</v>
      </c>
      <c r="B9" s="46"/>
      <c r="C9" s="70"/>
      <c r="D9" s="46"/>
      <c r="E9" s="70"/>
      <c r="F9" s="47">
        <v>0</v>
      </c>
      <c r="G9" s="70"/>
      <c r="H9" s="48"/>
    </row>
    <row r="10" spans="1:8" x14ac:dyDescent="0.3">
      <c r="A10" s="49" t="s">
        <v>90</v>
      </c>
      <c r="B10" s="46">
        <v>71165899.870000005</v>
      </c>
      <c r="C10" s="3">
        <f t="shared" si="0"/>
        <v>-0.69404420649692733</v>
      </c>
      <c r="D10" s="46">
        <v>232601903.22</v>
      </c>
      <c r="E10" s="3">
        <f t="shared" si="2"/>
        <v>0.14265216008880585</v>
      </c>
      <c r="F10" s="47">
        <v>203563176.39299995</v>
      </c>
      <c r="G10" s="3">
        <f t="shared" si="1"/>
        <v>1.5393541644437498E-2</v>
      </c>
      <c r="H10" s="48">
        <v>200477123.4445</v>
      </c>
    </row>
    <row r="11" spans="1:8" x14ac:dyDescent="0.3">
      <c r="A11" s="75" t="s">
        <v>5</v>
      </c>
      <c r="B11" s="78">
        <f>B10</f>
        <v>71165899.870000005</v>
      </c>
      <c r="C11" s="79">
        <f t="shared" si="0"/>
        <v>-0.69404420649692733</v>
      </c>
      <c r="D11" s="78">
        <f>D10</f>
        <v>232601903.22</v>
      </c>
      <c r="E11" s="79">
        <f t="shared" si="2"/>
        <v>0.14265216008880585</v>
      </c>
      <c r="F11" s="80">
        <v>203563176.39299995</v>
      </c>
      <c r="G11" s="79">
        <f t="shared" si="1"/>
        <v>1.5393541644437498E-2</v>
      </c>
      <c r="H11" s="81">
        <v>200477123.4445</v>
      </c>
    </row>
    <row r="12" spans="1:8" x14ac:dyDescent="0.3">
      <c r="A12" s="74" t="s">
        <v>134</v>
      </c>
      <c r="B12" s="78">
        <v>963050732.53999996</v>
      </c>
      <c r="C12" s="79">
        <f t="shared" si="0"/>
        <v>-3.8273602457177605E-2</v>
      </c>
      <c r="D12" s="78">
        <v>1001377039.25</v>
      </c>
      <c r="E12" s="79">
        <f t="shared" si="2"/>
        <v>0.32278307244279514</v>
      </c>
      <c r="F12" s="80">
        <v>757022871.02959991</v>
      </c>
      <c r="G12" s="79">
        <f t="shared" si="1"/>
        <v>0.98064463883652098</v>
      </c>
      <c r="H12" s="81">
        <v>382210345.15020001</v>
      </c>
    </row>
    <row r="13" spans="1:8" x14ac:dyDescent="0.3">
      <c r="A13" s="50" t="s">
        <v>91</v>
      </c>
      <c r="B13" s="51"/>
      <c r="C13" s="71"/>
      <c r="D13" s="51"/>
      <c r="E13" s="71"/>
      <c r="F13" s="52"/>
      <c r="G13" s="71"/>
      <c r="H13" s="53"/>
    </row>
    <row r="14" spans="1:8" x14ac:dyDescent="0.3">
      <c r="A14" s="50" t="s">
        <v>92</v>
      </c>
      <c r="B14" s="51"/>
      <c r="C14" s="71"/>
      <c r="D14" s="51"/>
      <c r="E14" s="71"/>
      <c r="F14" s="52"/>
      <c r="G14" s="71"/>
      <c r="H14" s="53"/>
    </row>
    <row r="15" spans="1:8" x14ac:dyDescent="0.3">
      <c r="A15" s="54" t="s">
        <v>93</v>
      </c>
      <c r="B15" s="51">
        <v>8427833.3399999999</v>
      </c>
      <c r="C15" s="71"/>
      <c r="D15" s="51"/>
      <c r="E15" s="71"/>
      <c r="F15" s="52">
        <v>0</v>
      </c>
      <c r="G15" s="71"/>
      <c r="H15" s="53"/>
    </row>
    <row r="16" spans="1:8" x14ac:dyDescent="0.3">
      <c r="A16" s="54" t="s">
        <v>94</v>
      </c>
      <c r="B16" s="51">
        <v>110946037.73999999</v>
      </c>
      <c r="C16" s="3">
        <f t="shared" si="0"/>
        <v>0.2158396567188525</v>
      </c>
      <c r="D16" s="51">
        <v>91250550.290000007</v>
      </c>
      <c r="E16" s="3">
        <f t="shared" si="2"/>
        <v>-0.41857979887865399</v>
      </c>
      <c r="F16" s="52">
        <v>156944237.77159998</v>
      </c>
      <c r="G16" s="3">
        <f t="shared" si="1"/>
        <v>1.1282783333455584</v>
      </c>
      <c r="H16" s="53">
        <v>73742346.248899996</v>
      </c>
    </row>
    <row r="17" spans="1:8" x14ac:dyDescent="0.3">
      <c r="A17" s="54" t="s">
        <v>95</v>
      </c>
      <c r="B17" s="51">
        <v>23133829.559999999</v>
      </c>
      <c r="C17" s="3">
        <f t="shared" si="0"/>
        <v>-0.26495009745381776</v>
      </c>
      <c r="D17" s="51">
        <v>31472461.23</v>
      </c>
      <c r="E17" s="3">
        <f t="shared" si="2"/>
        <v>5.0674654166122504E-2</v>
      </c>
      <c r="F17" s="52">
        <v>29954525.984999996</v>
      </c>
      <c r="G17" s="3">
        <f t="shared" si="1"/>
        <v>-0.13407034781467195</v>
      </c>
      <c r="H17" s="53">
        <v>34592331.963</v>
      </c>
    </row>
    <row r="18" spans="1:8" x14ac:dyDescent="0.3">
      <c r="A18" s="54" t="s">
        <v>96</v>
      </c>
      <c r="B18" s="51">
        <v>119983517.09999999</v>
      </c>
      <c r="C18" s="3">
        <f t="shared" si="0"/>
        <v>-0.35936983262961114</v>
      </c>
      <c r="D18" s="51">
        <v>187289833.06</v>
      </c>
      <c r="E18" s="3">
        <f t="shared" si="2"/>
        <v>9.9054811809391186E-2</v>
      </c>
      <c r="F18" s="52">
        <v>170409911.35979998</v>
      </c>
      <c r="G18" s="3">
        <f t="shared" si="1"/>
        <v>1.9624205447098755</v>
      </c>
      <c r="H18" s="53">
        <v>57523875.758999996</v>
      </c>
    </row>
    <row r="19" spans="1:8" x14ac:dyDescent="0.3">
      <c r="A19" s="55" t="s">
        <v>97</v>
      </c>
      <c r="B19" s="51"/>
      <c r="C19" s="71"/>
      <c r="D19" s="51"/>
      <c r="E19" s="71"/>
      <c r="F19" s="52">
        <v>0</v>
      </c>
      <c r="G19" s="3">
        <f t="shared" si="1"/>
        <v>-1</v>
      </c>
      <c r="H19" s="53">
        <v>7322027.5982000008</v>
      </c>
    </row>
    <row r="20" spans="1:8" x14ac:dyDescent="0.3">
      <c r="A20" s="76" t="s">
        <v>135</v>
      </c>
      <c r="B20" s="82">
        <v>262491217.74000001</v>
      </c>
      <c r="C20" s="79">
        <f t="shared" si="0"/>
        <v>-0.15328921904633161</v>
      </c>
      <c r="D20" s="82">
        <v>310012844.57999998</v>
      </c>
      <c r="E20" s="79">
        <f t="shared" si="2"/>
        <v>-0.13236686884524274</v>
      </c>
      <c r="F20" s="83">
        <v>357308675.11639994</v>
      </c>
      <c r="G20" s="79">
        <f t="shared" si="1"/>
        <v>1.063214431312161</v>
      </c>
      <c r="H20" s="84">
        <v>173180581.56909999</v>
      </c>
    </row>
    <row r="21" spans="1:8" x14ac:dyDescent="0.3">
      <c r="A21" s="54" t="s">
        <v>98</v>
      </c>
      <c r="B21" s="51"/>
      <c r="C21" s="71"/>
      <c r="D21" s="51"/>
      <c r="E21" s="71"/>
      <c r="F21" s="52"/>
      <c r="G21" s="71"/>
      <c r="H21" s="53"/>
    </row>
    <row r="22" spans="1:8" x14ac:dyDescent="0.3">
      <c r="A22" s="50" t="s">
        <v>99</v>
      </c>
      <c r="B22" s="51"/>
      <c r="C22" s="71"/>
      <c r="D22" s="51"/>
      <c r="E22" s="3">
        <f t="shared" si="2"/>
        <v>-1</v>
      </c>
      <c r="F22" s="52">
        <v>6970655.1413999991</v>
      </c>
      <c r="G22" s="3">
        <f t="shared" si="1"/>
        <v>-0.57268588718460889</v>
      </c>
      <c r="H22" s="53">
        <v>16312719.220700001</v>
      </c>
    </row>
    <row r="23" spans="1:8" x14ac:dyDescent="0.3">
      <c r="A23" s="77" t="s">
        <v>136</v>
      </c>
      <c r="B23" s="82"/>
      <c r="C23" s="85"/>
      <c r="D23" s="82"/>
      <c r="E23" s="79">
        <f t="shared" si="2"/>
        <v>-1</v>
      </c>
      <c r="F23" s="83">
        <v>6970655.1413999991</v>
      </c>
      <c r="G23" s="79">
        <f t="shared" si="1"/>
        <v>-0.57268588718460889</v>
      </c>
      <c r="H23" s="84">
        <v>16312719.220700001</v>
      </c>
    </row>
    <row r="24" spans="1:8" x14ac:dyDescent="0.3">
      <c r="A24" s="55"/>
      <c r="B24" s="51"/>
      <c r="C24" s="71"/>
      <c r="D24" s="51"/>
      <c r="E24" s="71"/>
      <c r="F24" s="52">
        <v>0</v>
      </c>
      <c r="G24" s="71"/>
      <c r="H24" s="53"/>
    </row>
    <row r="25" spans="1:8" x14ac:dyDescent="0.3">
      <c r="A25" s="76" t="s">
        <v>137</v>
      </c>
      <c r="B25" s="82">
        <v>262491217.74000001</v>
      </c>
      <c r="C25" s="79">
        <f t="shared" si="0"/>
        <v>-0.15328921904633161</v>
      </c>
      <c r="D25" s="82">
        <v>310012844.57999998</v>
      </c>
      <c r="E25" s="79">
        <f t="shared" si="2"/>
        <v>-0.14896943408618787</v>
      </c>
      <c r="F25" s="83">
        <v>364279330.25779998</v>
      </c>
      <c r="G25" s="79">
        <f t="shared" si="1"/>
        <v>0.92238632574080048</v>
      </c>
      <c r="H25" s="84">
        <v>189493300.78980002</v>
      </c>
    </row>
    <row r="26" spans="1:8" x14ac:dyDescent="0.3">
      <c r="A26" s="56" t="s">
        <v>116</v>
      </c>
      <c r="B26" s="57"/>
      <c r="C26" s="72"/>
      <c r="D26" s="57"/>
      <c r="E26" s="72"/>
      <c r="F26" s="58"/>
      <c r="G26" s="72"/>
      <c r="H26" s="59"/>
    </row>
    <row r="27" spans="1:8" x14ac:dyDescent="0.3">
      <c r="A27" s="20" t="s">
        <v>100</v>
      </c>
      <c r="B27" s="57">
        <v>700559514.79999995</v>
      </c>
      <c r="C27" s="3">
        <f t="shared" si="0"/>
        <v>1.3300255062223869E-2</v>
      </c>
      <c r="D27" s="57">
        <v>691364194.66999996</v>
      </c>
      <c r="E27" s="3">
        <f t="shared" si="2"/>
        <v>0.7603451690417764</v>
      </c>
      <c r="F27" s="58">
        <v>392743540.77179992</v>
      </c>
      <c r="G27" s="3">
        <f t="shared" si="1"/>
        <v>1.0379284150774464</v>
      </c>
      <c r="H27" s="59">
        <v>192717044.36040002</v>
      </c>
    </row>
    <row r="28" spans="1:8" x14ac:dyDescent="0.3">
      <c r="A28" s="56" t="s">
        <v>138</v>
      </c>
      <c r="B28" s="86">
        <v>700559514.79999995</v>
      </c>
      <c r="C28" s="79">
        <f t="shared" si="0"/>
        <v>1.3300255062223869E-2</v>
      </c>
      <c r="D28" s="86">
        <v>691364194.66999996</v>
      </c>
      <c r="E28" s="79">
        <f t="shared" si="2"/>
        <v>0.7603451690417764</v>
      </c>
      <c r="F28" s="87">
        <v>392743540.77179992</v>
      </c>
      <c r="G28" s="79">
        <f t="shared" si="1"/>
        <v>1.0379284150774464</v>
      </c>
      <c r="H28" s="88">
        <v>192717044.36040002</v>
      </c>
    </row>
    <row r="29" spans="1:8" x14ac:dyDescent="0.3">
      <c r="A29" s="73"/>
      <c r="B29" s="57"/>
      <c r="C29" s="72"/>
      <c r="D29" s="57"/>
      <c r="E29" s="72"/>
      <c r="F29" s="58">
        <v>0</v>
      </c>
      <c r="G29" s="72"/>
      <c r="H29" s="59"/>
    </row>
    <row r="30" spans="1:8" x14ac:dyDescent="0.3">
      <c r="A30" s="89" t="s">
        <v>101</v>
      </c>
      <c r="B30" s="86">
        <v>963050732.53999996</v>
      </c>
      <c r="C30" s="90">
        <f t="shared" si="0"/>
        <v>-3.8273602457177605E-2</v>
      </c>
      <c r="D30" s="86">
        <v>1001377039.25</v>
      </c>
      <c r="E30" s="79">
        <f t="shared" si="2"/>
        <v>0.32278307244279514</v>
      </c>
      <c r="F30" s="87">
        <v>757022871.02959991</v>
      </c>
      <c r="G30" s="79">
        <f t="shared" si="1"/>
        <v>0.98064463883652098</v>
      </c>
      <c r="H30" s="88">
        <v>382210345.15020001</v>
      </c>
    </row>
  </sheetData>
  <conditionalFormatting sqref="C1:C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7F62-9CC3-4E06-9766-9D1BD699A940}">
  <dimension ref="A1:M30"/>
  <sheetViews>
    <sheetView topLeftCell="A4" workbookViewId="0">
      <selection activeCell="B14" sqref="B14"/>
    </sheetView>
  </sheetViews>
  <sheetFormatPr baseColWidth="10" defaultColWidth="11.5546875" defaultRowHeight="14.4" x14ac:dyDescent="0.3"/>
  <cols>
    <col min="1" max="1" width="44.88671875" customWidth="1"/>
    <col min="2" max="2" width="17.88671875" bestFit="1" customWidth="1"/>
    <col min="3" max="3" width="15.21875" bestFit="1" customWidth="1"/>
    <col min="4" max="4" width="17.88671875" bestFit="1" customWidth="1"/>
    <col min="5" max="5" width="16.5546875" customWidth="1"/>
    <col min="6" max="6" width="16.77734375" customWidth="1"/>
    <col min="7" max="7" width="20.109375" customWidth="1"/>
    <col min="10" max="10" width="16.44140625" bestFit="1" customWidth="1"/>
  </cols>
  <sheetData>
    <row r="1" spans="1:13" x14ac:dyDescent="0.3">
      <c r="A1" s="214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3">
      <c r="A2" s="216"/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</row>
    <row r="3" spans="1:13" ht="43.2" customHeight="1" x14ac:dyDescent="0.3">
      <c r="A3" s="218" t="s">
        <v>6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20"/>
      <c r="M3" s="212"/>
    </row>
    <row r="4" spans="1:13" x14ac:dyDescent="0.3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2"/>
    </row>
    <row r="5" spans="1:13" x14ac:dyDescent="0.3">
      <c r="A5" s="31"/>
      <c r="B5" s="35" t="s">
        <v>7</v>
      </c>
      <c r="C5" s="39" t="s">
        <v>102</v>
      </c>
      <c r="D5" s="35" t="s">
        <v>8</v>
      </c>
      <c r="E5" s="39" t="s">
        <v>102</v>
      </c>
      <c r="F5" s="37" t="s">
        <v>39</v>
      </c>
      <c r="G5" s="36">
        <v>44926</v>
      </c>
      <c r="H5" s="39" t="s">
        <v>102</v>
      </c>
      <c r="I5" s="37" t="s">
        <v>50</v>
      </c>
      <c r="J5" s="36">
        <v>44561</v>
      </c>
      <c r="K5" s="40" t="s">
        <v>102</v>
      </c>
      <c r="L5" s="38" t="s">
        <v>113</v>
      </c>
      <c r="M5" s="212"/>
    </row>
    <row r="6" spans="1:13" x14ac:dyDescent="0.3">
      <c r="A6" s="12" t="s">
        <v>9</v>
      </c>
      <c r="B6" s="92">
        <v>1674689775</v>
      </c>
      <c r="C6" s="3">
        <f>B6/B6</f>
        <v>1</v>
      </c>
      <c r="D6" s="92">
        <v>2417205313</v>
      </c>
      <c r="E6" s="3">
        <f t="shared" ref="E6:E15" si="0">D6/$D$6</f>
        <v>1</v>
      </c>
      <c r="F6" s="3">
        <f t="shared" ref="F6:F15" si="1">B6/D6-1</f>
        <v>-0.3071793421959933</v>
      </c>
      <c r="G6" s="15">
        <v>1649366946.2357996</v>
      </c>
      <c r="H6" s="3">
        <f>G6/G6</f>
        <v>1</v>
      </c>
      <c r="I6" s="3">
        <f>(D6-G6)/G6</f>
        <v>0.46553519731710902</v>
      </c>
      <c r="J6" s="15">
        <v>732841914.47040009</v>
      </c>
      <c r="K6" s="33">
        <f>J6/J6</f>
        <v>1</v>
      </c>
      <c r="L6" s="33">
        <f>(G6-J6)/J6</f>
        <v>1.2506449394720291</v>
      </c>
      <c r="M6" s="212"/>
    </row>
    <row r="7" spans="1:13" ht="14.4" customHeight="1" x14ac:dyDescent="0.3">
      <c r="A7" s="12" t="s">
        <v>10</v>
      </c>
      <c r="B7" s="92">
        <v>-983362892</v>
      </c>
      <c r="C7" s="3">
        <f>B7/B6</f>
        <v>-0.58719107662790859</v>
      </c>
      <c r="D7" s="92">
        <v>-1272633202</v>
      </c>
      <c r="E7" s="3">
        <f t="shared" si="0"/>
        <v>-0.52648949394395117</v>
      </c>
      <c r="F7" s="3">
        <f t="shared" si="1"/>
        <v>-0.22730061540544344</v>
      </c>
      <c r="G7" s="15">
        <v>-1248346831.5031998</v>
      </c>
      <c r="H7" s="3">
        <f t="shared" ref="H7:H15" si="2">G7/$G$6</f>
        <v>-0.75686422257472086</v>
      </c>
      <c r="I7" s="3">
        <f t="shared" ref="I7:I15" si="3">(D7-G7)/G7</f>
        <v>1.9454826081911621E-2</v>
      </c>
      <c r="J7" s="15">
        <v>-690869893.61810005</v>
      </c>
      <c r="K7" s="33">
        <f>J7/$J$6</f>
        <v>-0.94272704655187223</v>
      </c>
      <c r="L7" s="33">
        <f t="shared" ref="L7:L15" si="4">(G7-J7)/J7</f>
        <v>0.80692029430546097</v>
      </c>
      <c r="M7" s="212"/>
    </row>
    <row r="8" spans="1:13" x14ac:dyDescent="0.3">
      <c r="A8" s="12" t="s">
        <v>11</v>
      </c>
      <c r="B8" s="92">
        <v>691326882</v>
      </c>
      <c r="C8" s="3">
        <f>B8/B6</f>
        <v>0.41280892277496589</v>
      </c>
      <c r="D8" s="92">
        <v>1144572110</v>
      </c>
      <c r="E8" s="3">
        <f t="shared" si="0"/>
        <v>0.47351050564234798</v>
      </c>
      <c r="F8" s="3">
        <f t="shared" si="1"/>
        <v>-0.3959953453697207</v>
      </c>
      <c r="G8" s="15">
        <v>401020114.73259991</v>
      </c>
      <c r="H8" s="3">
        <f t="shared" si="2"/>
        <v>0.24313577742527925</v>
      </c>
      <c r="I8" s="3">
        <f t="shared" si="3"/>
        <v>1.8541513703451016</v>
      </c>
      <c r="J8" s="15">
        <v>41972020.852300003</v>
      </c>
      <c r="K8" s="33">
        <f t="shared" ref="K8:K15" si="5">J8/$J$6</f>
        <v>5.7272953448127696E-2</v>
      </c>
      <c r="L8" s="33">
        <f t="shared" si="4"/>
        <v>8.554462868104304</v>
      </c>
      <c r="M8" s="212"/>
    </row>
    <row r="9" spans="1:13" x14ac:dyDescent="0.3">
      <c r="A9" s="12" t="s">
        <v>12</v>
      </c>
      <c r="B9" s="92">
        <v>-643876</v>
      </c>
      <c r="C9" s="3">
        <f>B9/B6</f>
        <v>-3.8447479026376691E-4</v>
      </c>
      <c r="D9" s="92">
        <v>-608426</v>
      </c>
      <c r="E9" s="3">
        <f t="shared" si="0"/>
        <v>-2.5170638039218973E-4</v>
      </c>
      <c r="F9" s="3">
        <f t="shared" si="1"/>
        <v>5.8265097152324197E-2</v>
      </c>
      <c r="G9" s="15">
        <v>-7219208.1465999996</v>
      </c>
      <c r="H9" s="3">
        <f t="shared" si="2"/>
        <v>-4.3769569670810632E-3</v>
      </c>
      <c r="I9" s="3">
        <f t="shared" si="3"/>
        <v>-0.91572122764093622</v>
      </c>
      <c r="J9" s="15">
        <v>-741494.48099999991</v>
      </c>
      <c r="K9" s="33">
        <f t="shared" si="5"/>
        <v>-1.0118068663360401E-3</v>
      </c>
      <c r="L9" s="33">
        <f t="shared" si="4"/>
        <v>8.7360241129023333</v>
      </c>
      <c r="M9" s="212"/>
    </row>
    <row r="10" spans="1:13" x14ac:dyDescent="0.3">
      <c r="A10" s="12" t="s">
        <v>13</v>
      </c>
      <c r="B10" s="92">
        <v>-152236169</v>
      </c>
      <c r="C10" s="3">
        <f>B10/B6</f>
        <v>-9.0904101328259435E-2</v>
      </c>
      <c r="D10" s="92">
        <v>-188463889</v>
      </c>
      <c r="E10" s="3">
        <f t="shared" si="0"/>
        <v>-7.7967679446350774E-2</v>
      </c>
      <c r="F10" s="3">
        <f t="shared" si="1"/>
        <v>-0.19222632087359715</v>
      </c>
      <c r="G10" s="15">
        <v>-134294010.34719998</v>
      </c>
      <c r="H10" s="3">
        <f t="shared" si="2"/>
        <v>-8.1421548221083856E-2</v>
      </c>
      <c r="I10" s="3">
        <f t="shared" si="3"/>
        <v>0.40336779363987074</v>
      </c>
      <c r="J10" s="15">
        <v>-50041287.0678</v>
      </c>
      <c r="K10" s="33">
        <f t="shared" si="5"/>
        <v>-6.8283876890370188E-2</v>
      </c>
      <c r="L10" s="33">
        <f t="shared" si="4"/>
        <v>1.6836641944330397</v>
      </c>
      <c r="M10" s="212"/>
    </row>
    <row r="11" spans="1:13" x14ac:dyDescent="0.3">
      <c r="A11" s="133" t="s">
        <v>14</v>
      </c>
      <c r="B11" s="92">
        <v>-401210536</v>
      </c>
      <c r="C11" s="3">
        <f>B11/B6</f>
        <v>-0.23957304928311274</v>
      </c>
      <c r="D11" s="92">
        <v>-540757210</v>
      </c>
      <c r="E11" s="3">
        <f t="shared" si="0"/>
        <v>-0.22371174144444717</v>
      </c>
      <c r="F11" s="3">
        <f t="shared" si="1"/>
        <v>-0.25805790735550249</v>
      </c>
      <c r="G11" s="15">
        <v>38857175.955199994</v>
      </c>
      <c r="H11" s="3">
        <f t="shared" si="2"/>
        <v>2.3558842405493937E-2</v>
      </c>
      <c r="I11" s="3">
        <f t="shared" si="3"/>
        <v>-14.916533991648306</v>
      </c>
      <c r="J11" s="15">
        <v>56777162.0766</v>
      </c>
      <c r="K11" s="33">
        <f t="shared" si="5"/>
        <v>7.7475320332395181E-2</v>
      </c>
      <c r="L11" s="33">
        <f t="shared" si="4"/>
        <v>-0.31561961651453352</v>
      </c>
      <c r="M11" s="212"/>
    </row>
    <row r="12" spans="1:13" x14ac:dyDescent="0.3">
      <c r="A12" s="12" t="s">
        <v>15</v>
      </c>
      <c r="B12" s="92">
        <v>18284750</v>
      </c>
      <c r="C12" s="3">
        <f>B12/B6</f>
        <v>1.0918290821952382E-2</v>
      </c>
      <c r="D12" s="92">
        <v>44638020</v>
      </c>
      <c r="E12" s="3">
        <f t="shared" si="0"/>
        <v>1.8466788799417138E-2</v>
      </c>
      <c r="F12" s="3">
        <f t="shared" si="1"/>
        <v>-0.5903772165521679</v>
      </c>
      <c r="G12" s="15">
        <v>8223102.6373999994</v>
      </c>
      <c r="H12" s="3">
        <f t="shared" si="2"/>
        <v>4.985611392399272E-3</v>
      </c>
      <c r="I12" s="3">
        <f t="shared" si="3"/>
        <v>4.4283671222804726</v>
      </c>
      <c r="J12" s="15">
        <v>6959634.8415999999</v>
      </c>
      <c r="K12" s="33">
        <f t="shared" si="5"/>
        <v>9.4967750945706905E-3</v>
      </c>
      <c r="L12" s="33">
        <f t="shared" si="4"/>
        <v>0.18154225394812984</v>
      </c>
      <c r="M12" s="212"/>
    </row>
    <row r="13" spans="1:13" x14ac:dyDescent="0.3">
      <c r="A13" s="12" t="s">
        <v>16</v>
      </c>
      <c r="B13" s="92">
        <v>155521050</v>
      </c>
      <c r="C13" s="3">
        <f>B13/B6</f>
        <v>9.2865587598156801E-2</v>
      </c>
      <c r="D13" s="92">
        <v>459380605</v>
      </c>
      <c r="E13" s="3">
        <f t="shared" si="0"/>
        <v>0.19004616717057496</v>
      </c>
      <c r="F13" s="3">
        <f t="shared" si="1"/>
        <v>-0.66145490622095382</v>
      </c>
      <c r="G13" s="15">
        <v>306587174.83139992</v>
      </c>
      <c r="H13" s="3">
        <f t="shared" si="2"/>
        <v>0.18588172603500755</v>
      </c>
      <c r="I13" s="3">
        <f t="shared" si="3"/>
        <v>0.4983686295834947</v>
      </c>
      <c r="J13" s="15">
        <v>54926036.221700005</v>
      </c>
      <c r="K13" s="33">
        <f t="shared" si="5"/>
        <v>7.4949365118387345E-2</v>
      </c>
      <c r="L13" s="33">
        <f t="shared" si="4"/>
        <v>4.5818186769187328</v>
      </c>
      <c r="M13" s="212"/>
    </row>
    <row r="14" spans="1:13" x14ac:dyDescent="0.3">
      <c r="A14" s="12" t="s">
        <v>17</v>
      </c>
      <c r="B14" s="92">
        <v>-61293299</v>
      </c>
      <c r="C14" s="3">
        <f>B14/B6</f>
        <v>-3.6599792937769625E-2</v>
      </c>
      <c r="D14" s="92">
        <v>-155565855</v>
      </c>
      <c r="E14" s="3">
        <f t="shared" si="0"/>
        <v>-6.435773335568537E-2</v>
      </c>
      <c r="F14" s="3">
        <f t="shared" si="1"/>
        <v>-0.60599773645701371</v>
      </c>
      <c r="G14" s="15">
        <v>-93579045.084599987</v>
      </c>
      <c r="H14" s="3">
        <f t="shared" si="2"/>
        <v>-5.673634075071466E-2</v>
      </c>
      <c r="I14" s="3">
        <f t="shared" si="3"/>
        <v>0.66240053913096608</v>
      </c>
      <c r="J14" s="15">
        <v>-6625824.1147000007</v>
      </c>
      <c r="K14" s="33">
        <f t="shared" si="5"/>
        <v>-9.0412734095432542E-3</v>
      </c>
      <c r="L14" s="33">
        <f t="shared" si="4"/>
        <v>13.123382007226279</v>
      </c>
      <c r="M14" s="212"/>
    </row>
    <row r="15" spans="1:13" x14ac:dyDescent="0.3">
      <c r="A15" s="12" t="s">
        <v>18</v>
      </c>
      <c r="B15" s="92">
        <v>94227750</v>
      </c>
      <c r="C15" s="3">
        <f>B15/B6</f>
        <v>5.6265794063261654E-2</v>
      </c>
      <c r="D15" s="92">
        <v>303814749</v>
      </c>
      <c r="E15" s="3">
        <f t="shared" si="0"/>
        <v>0.12568843340118871</v>
      </c>
      <c r="F15" s="3">
        <f t="shared" si="1"/>
        <v>-0.68985129816722623</v>
      </c>
      <c r="G15" s="34">
        <v>213008129.74679998</v>
      </c>
      <c r="H15" s="3">
        <f t="shared" si="2"/>
        <v>0.12914538528429292</v>
      </c>
      <c r="I15" s="3">
        <f t="shared" si="3"/>
        <v>0.42630588494974669</v>
      </c>
      <c r="J15" s="15">
        <v>48300212.107000001</v>
      </c>
      <c r="K15" s="33">
        <f t="shared" si="5"/>
        <v>6.5908091708844083E-2</v>
      </c>
      <c r="L15" s="33">
        <f t="shared" si="4"/>
        <v>3.410086839265233</v>
      </c>
      <c r="M15" s="212"/>
    </row>
    <row r="16" spans="1:13" x14ac:dyDescent="0.3">
      <c r="A16" s="212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</row>
    <row r="17" spans="1:13" x14ac:dyDescent="0.3">
      <c r="A17" s="212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</row>
    <row r="20" spans="1:13" x14ac:dyDescent="0.3">
      <c r="B20" s="13" t="s">
        <v>115</v>
      </c>
      <c r="C20" s="13" t="s">
        <v>114</v>
      </c>
    </row>
    <row r="21" spans="1:13" x14ac:dyDescent="0.3">
      <c r="A21" s="32" t="s">
        <v>9</v>
      </c>
      <c r="B21" s="3">
        <f t="shared" ref="B21:B30" si="6">(B6-G6)/G6</f>
        <v>1.5353059440164265E-2</v>
      </c>
      <c r="C21" s="3">
        <f t="shared" ref="C21:C30" si="7">(B6-J6)/J6</f>
        <v>1.2851992250064481</v>
      </c>
    </row>
    <row r="22" spans="1:13" x14ac:dyDescent="0.3">
      <c r="A22" s="32" t="s">
        <v>10</v>
      </c>
      <c r="B22" s="3">
        <f t="shared" si="6"/>
        <v>-0.2122678832645562</v>
      </c>
      <c r="C22" s="3">
        <f t="shared" si="7"/>
        <v>0.42336914820547183</v>
      </c>
    </row>
    <row r="23" spans="1:13" x14ac:dyDescent="0.3">
      <c r="A23" s="32" t="s">
        <v>11</v>
      </c>
      <c r="B23" s="3">
        <f t="shared" si="6"/>
        <v>0.72392071270783154</v>
      </c>
      <c r="C23" s="3">
        <f t="shared" si="7"/>
        <v>15.471136437122881</v>
      </c>
    </row>
    <row r="24" spans="1:13" x14ac:dyDescent="0.3">
      <c r="A24" s="32" t="s">
        <v>12</v>
      </c>
      <c r="B24" s="3">
        <f t="shared" si="6"/>
        <v>-0.91081071678155678</v>
      </c>
      <c r="C24" s="3">
        <f t="shared" si="7"/>
        <v>-0.13165098797276137</v>
      </c>
    </row>
    <row r="25" spans="1:13" x14ac:dyDescent="0.3">
      <c r="A25" s="32" t="s">
        <v>13</v>
      </c>
      <c r="B25" s="3">
        <f t="shared" si="6"/>
        <v>0.13360356583598085</v>
      </c>
      <c r="C25" s="3">
        <f t="shared" si="7"/>
        <v>2.042211300315639</v>
      </c>
    </row>
    <row r="26" spans="1:13" x14ac:dyDescent="0.3">
      <c r="A26" s="32" t="s">
        <v>14</v>
      </c>
      <c r="B26" s="3">
        <f t="shared" si="6"/>
        <v>-11.325262352121827</v>
      </c>
      <c r="C26" s="3">
        <f t="shared" si="7"/>
        <v>-8.0664070081331865</v>
      </c>
    </row>
    <row r="27" spans="1:13" x14ac:dyDescent="0.3">
      <c r="A27" s="32" t="s">
        <v>15</v>
      </c>
      <c r="B27" s="3">
        <f t="shared" si="6"/>
        <v>1.2235828502052257</v>
      </c>
      <c r="C27" s="3">
        <f t="shared" si="7"/>
        <v>1.627257092671889</v>
      </c>
    </row>
    <row r="28" spans="1:13" x14ac:dyDescent="0.3">
      <c r="A28" s="32" t="s">
        <v>16</v>
      </c>
      <c r="B28" s="3">
        <f t="shared" si="6"/>
        <v>-0.49273465178207476</v>
      </c>
      <c r="C28" s="3">
        <f t="shared" si="7"/>
        <v>1.8314631948364994</v>
      </c>
    </row>
    <row r="29" spans="1:13" x14ac:dyDescent="0.3">
      <c r="A29" s="32" t="s">
        <v>17</v>
      </c>
      <c r="B29" s="3">
        <f t="shared" si="6"/>
        <v>-0.34501042466731852</v>
      </c>
      <c r="C29" s="3">
        <f t="shared" si="7"/>
        <v>8.2506679831743757</v>
      </c>
    </row>
    <row r="30" spans="1:13" x14ac:dyDescent="0.3">
      <c r="A30" s="32" t="s">
        <v>18</v>
      </c>
      <c r="B30" s="3">
        <f t="shared" si="6"/>
        <v>-0.55763308136639045</v>
      </c>
      <c r="C30" s="3">
        <f t="shared" si="7"/>
        <v>0.95087652599239547</v>
      </c>
    </row>
  </sheetData>
  <mergeCells count="5">
    <mergeCell ref="M3:M17"/>
    <mergeCell ref="A4:L4"/>
    <mergeCell ref="A16:L17"/>
    <mergeCell ref="A1:M2"/>
    <mergeCell ref="A3:L3"/>
  </mergeCells>
  <conditionalFormatting sqref="B21:B3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C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C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3F6A-A4D5-430D-B5F0-D33D7BA224F7}">
  <dimension ref="B3:T22"/>
  <sheetViews>
    <sheetView workbookViewId="0">
      <selection activeCell="E10" sqref="E10"/>
    </sheetView>
  </sheetViews>
  <sheetFormatPr baseColWidth="10" defaultColWidth="11.5546875" defaultRowHeight="14.4" x14ac:dyDescent="0.3"/>
  <cols>
    <col min="3" max="3" width="16.6640625" customWidth="1"/>
    <col min="4" max="4" width="16.77734375" customWidth="1"/>
    <col min="5" max="5" width="16.44140625" bestFit="1" customWidth="1"/>
    <col min="8" max="8" width="13.5546875" customWidth="1"/>
    <col min="17" max="18" width="12.44140625" bestFit="1" customWidth="1"/>
  </cols>
  <sheetData>
    <row r="3" spans="2:20" x14ac:dyDescent="0.3">
      <c r="B3" s="222" t="s">
        <v>34</v>
      </c>
      <c r="C3" s="222"/>
      <c r="D3" s="222"/>
      <c r="E3" s="222"/>
      <c r="F3" s="2"/>
      <c r="G3" s="222" t="s">
        <v>36</v>
      </c>
      <c r="H3" s="222"/>
      <c r="I3" s="222"/>
      <c r="J3" s="222"/>
      <c r="K3" s="2"/>
      <c r="L3" s="224" t="s">
        <v>43</v>
      </c>
      <c r="M3" s="225"/>
      <c r="N3" s="225"/>
      <c r="O3" s="226"/>
      <c r="P3" s="2"/>
      <c r="Q3" s="221" t="s">
        <v>42</v>
      </c>
      <c r="R3" s="221"/>
      <c r="S3" s="221"/>
      <c r="T3" s="221"/>
    </row>
    <row r="4" spans="2:20" x14ac:dyDescent="0.3">
      <c r="B4" s="4">
        <v>2024</v>
      </c>
      <c r="C4" s="4">
        <v>2023</v>
      </c>
      <c r="D4" s="4">
        <v>2022</v>
      </c>
      <c r="E4" s="4">
        <v>2021</v>
      </c>
      <c r="F4" s="2"/>
      <c r="G4" s="4">
        <v>2024</v>
      </c>
      <c r="H4" s="4">
        <v>2023</v>
      </c>
      <c r="I4" s="4">
        <v>2022</v>
      </c>
      <c r="J4" s="4">
        <v>2021</v>
      </c>
      <c r="K4" s="2"/>
      <c r="L4" s="4">
        <v>2024</v>
      </c>
      <c r="M4" s="4">
        <v>2023</v>
      </c>
      <c r="N4" s="4">
        <v>2022</v>
      </c>
      <c r="O4" s="4">
        <v>2021</v>
      </c>
      <c r="P4" s="2"/>
      <c r="Q4" s="4">
        <v>2024</v>
      </c>
      <c r="R4" s="4">
        <v>2023</v>
      </c>
      <c r="S4" s="4">
        <v>2022</v>
      </c>
      <c r="T4" s="41">
        <v>2021</v>
      </c>
    </row>
    <row r="5" spans="2:20" x14ac:dyDescent="0.3">
      <c r="B5" s="3">
        <f>'ESTADO DE RESULTADOS'!B13/BALANCE!B12</f>
        <v>0.16148790997730797</v>
      </c>
      <c r="C5" s="3">
        <f>'ESTADO DE RESULTADOS'!D13/BALANCE!D12</f>
        <v>0.4587488897728888</v>
      </c>
      <c r="D5" s="3">
        <f>'ESTADO DE RESULTADOS'!G13/BALANCE!F12</f>
        <v>0.40499063709187755</v>
      </c>
      <c r="E5" s="3">
        <f>'ESTADO DE RESULTADOS'!J13/BALANCE!H12</f>
        <v>0.14370630444373586</v>
      </c>
      <c r="F5" s="2"/>
      <c r="G5" s="3">
        <f>('ESTADO DE RESULTADOS'!B8+'ESTADO DE RESULTADOS'!B9+'ESTADO DE RESULTADOS'!B10)/'ESTADO DE RESULTADOS'!B6</f>
        <v>0.32152034665644269</v>
      </c>
      <c r="H5" s="3">
        <f>('ESTADO DE RESULTADOS'!D8+'ESTADO DE RESULTADOS'!D9+'ESTADO DE RESULTADOS'!D10)/'ESTADO DE RESULTADOS'!D6</f>
        <v>0.395291119815605</v>
      </c>
      <c r="I5" s="3">
        <f>('ESTADO DE RESULTADOS'!G8+'ESTADO DE RESULTADOS'!G9+'ESTADO DE RESULTADOS'!G10)/'ESTADO DE RESULTADOS'!G6</f>
        <v>0.15733727223711436</v>
      </c>
      <c r="J5" s="3">
        <f>('ESTADO DE RESULTADOS'!J8+'ESTADO DE RESULTADOS'!J9+'ESTADO DE RESULTADOS'!J10)/'ESTADO DE RESULTADOS'!J6</f>
        <v>-1.2022730308578533E-2</v>
      </c>
      <c r="K5" s="2"/>
      <c r="L5" s="6">
        <f>BALANCE!B12/BALANCE!B25</f>
        <v>3.6688874425273559</v>
      </c>
      <c r="M5" s="6">
        <f>BALANCE!D12/BALANCE!D25</f>
        <v>3.2301146767213735</v>
      </c>
      <c r="N5" s="6">
        <f>BALANCE!F12/BALANCE!F25</f>
        <v>2.078138417828582</v>
      </c>
      <c r="O5" s="6">
        <f>BALANCE!H12/BALANCE!H25</f>
        <v>2.0170124408470564</v>
      </c>
      <c r="P5" s="2"/>
      <c r="Q5" s="6">
        <f>BALANCE!B25/BALANCE!B28</f>
        <v>0.37468796325596637</v>
      </c>
      <c r="R5" s="6">
        <f>BALANCE!D25/BALANCE!D28</f>
        <v>0.44840743412807843</v>
      </c>
      <c r="S5" s="6">
        <f>BALANCE!F25/BALANCE!F28</f>
        <v>0.92752468835499247</v>
      </c>
      <c r="T5" s="6">
        <f>BALANCE!H25/BALANCE!H28</f>
        <v>0.98327214086694226</v>
      </c>
    </row>
    <row r="6" spans="2:20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20" ht="14.4" customHeight="1" x14ac:dyDescent="0.3">
      <c r="B7" s="223" t="s">
        <v>38</v>
      </c>
      <c r="C7" s="223"/>
      <c r="D7" s="223"/>
      <c r="E7" s="223"/>
      <c r="F7" s="2"/>
      <c r="G7" s="223" t="s">
        <v>35</v>
      </c>
      <c r="H7" s="223"/>
      <c r="I7" s="223"/>
      <c r="J7" s="223"/>
      <c r="K7" s="2"/>
      <c r="L7" s="221" t="s">
        <v>40</v>
      </c>
      <c r="M7" s="221"/>
      <c r="N7" s="221"/>
      <c r="O7" s="221"/>
      <c r="P7" s="2"/>
      <c r="Q7" s="221" t="s">
        <v>41</v>
      </c>
      <c r="R7" s="221"/>
      <c r="S7" s="221"/>
      <c r="T7" s="221"/>
    </row>
    <row r="8" spans="2:20" x14ac:dyDescent="0.3">
      <c r="B8" s="223"/>
      <c r="C8" s="223"/>
      <c r="D8" s="223"/>
      <c r="E8" s="223"/>
      <c r="F8" s="2"/>
      <c r="G8" s="223"/>
      <c r="H8" s="223"/>
      <c r="I8" s="223"/>
      <c r="J8" s="223"/>
      <c r="K8" s="2"/>
      <c r="L8" s="4">
        <v>2024</v>
      </c>
      <c r="M8" s="4">
        <v>2023</v>
      </c>
      <c r="N8" s="4">
        <v>2022</v>
      </c>
      <c r="O8" s="4">
        <v>2021</v>
      </c>
      <c r="P8" s="2"/>
      <c r="Q8" s="4">
        <v>2024</v>
      </c>
      <c r="R8" s="4">
        <v>2023</v>
      </c>
      <c r="S8" s="4">
        <v>2022</v>
      </c>
      <c r="T8" s="41">
        <v>2021</v>
      </c>
    </row>
    <row r="9" spans="2:20" x14ac:dyDescent="0.3">
      <c r="B9" s="4">
        <v>2024</v>
      </c>
      <c r="C9" s="4">
        <v>2023</v>
      </c>
      <c r="D9" s="4">
        <v>2022</v>
      </c>
      <c r="E9" s="4">
        <v>2021</v>
      </c>
      <c r="F9" s="2"/>
      <c r="G9" s="4">
        <v>2024</v>
      </c>
      <c r="H9" s="4">
        <v>2023</v>
      </c>
      <c r="I9" s="4">
        <v>2022</v>
      </c>
      <c r="J9" s="4">
        <v>2021</v>
      </c>
      <c r="K9" s="2"/>
      <c r="L9" s="7">
        <f>BALANCE!B8/BALANCE!B20</f>
        <v>3.3977701819853654</v>
      </c>
      <c r="M9" s="6">
        <f>BALANCE!D8/BALANCE!D20</f>
        <v>2.4798170445857597</v>
      </c>
      <c r="N9" s="6">
        <f>BALANCE!F8/BALANCE!F20</f>
        <v>1.5489679741369282</v>
      </c>
      <c r="O9" s="6">
        <f>BALANCE!H8/BALANCE!H20</f>
        <v>1.0493856762640992</v>
      </c>
      <c r="P9" s="2"/>
      <c r="Q9" s="6">
        <f>(BALANCE!B8-BALANCE!B6)/BALANCE!B20</f>
        <v>3.2861923268778082</v>
      </c>
      <c r="R9" s="6">
        <f>(BALANCE!D8-BALANCE!D6)/BALANCE!D20</f>
        <v>2.463553040664145</v>
      </c>
      <c r="S9" s="6">
        <f>(BALANCE!F8-BALANCE!F6)/BALANCE!F20</f>
        <v>1.5274230626670566</v>
      </c>
      <c r="T9" s="6">
        <f>(BALANCE!H8-BALANCE!H6)/BALANCE!H20</f>
        <v>1.0012713277597589</v>
      </c>
    </row>
    <row r="10" spans="2:20" x14ac:dyDescent="0.3">
      <c r="B10" s="3">
        <f>(('ESTADO DE RESULTADOS'!B8+'ESTADO DE RESULTADOS'!B9+'ESTADO DE RESULTADOS'!B10)*(1-0.35))/(BALANCE!B28+BALANCE!B16)</f>
        <v>0.43128533496109211</v>
      </c>
      <c r="C10" s="3">
        <f>(('ESTADO DE RESULTADOS'!D8+'ESTADO DE RESULTADOS'!D9+'ESTADO DE RESULTADOS'!D10)*(1-0.35))/(BALANCE!D28+BALANCE!D16)</f>
        <v>0.79358952888338907</v>
      </c>
      <c r="D10" s="3">
        <f>(('ESTADO DE RESULTADOS'!G8+'ESTADO DE RESULTADOS'!G9+'ESTADO DE RESULTADOS'!G10)*(1-0.35))/(BALANCE!F28+BALANCE!F16)</f>
        <v>0.30686416751378087</v>
      </c>
      <c r="E10" s="3">
        <f>(('ESTADO DE RESULTADOS'!J8+'ESTADO DE RESULTADOS'!J9+'ESTADO DE RESULTADOS'!J10)*(1-0.35))/(BALANCE!H28+BALANCE!H16)</f>
        <v>-2.1492935338587062E-2</v>
      </c>
      <c r="F10" s="2"/>
      <c r="G10" s="3">
        <f>'ESTADO DE RESULTADOS'!B13/BALANCE!B28</f>
        <v>0.22199548605716832</v>
      </c>
      <c r="H10" s="3">
        <f>'ESTADO DE RESULTADOS'!D13/BALANCE!D28</f>
        <v>0.66445530234505457</v>
      </c>
      <c r="I10" s="3">
        <f>'ESTADO DE RESULTADOS'!G13/BALANCE!F28</f>
        <v>0.78062945154721108</v>
      </c>
      <c r="J10" s="3">
        <f>'ESTADO DE RESULTADOS'!J13/BALANCE!H28</f>
        <v>0.28500871007020456</v>
      </c>
      <c r="K10" s="2"/>
      <c r="L10" s="2"/>
      <c r="M10" s="2"/>
      <c r="N10" s="2"/>
      <c r="O10" s="2"/>
      <c r="P10" s="2"/>
      <c r="Q10" s="2"/>
      <c r="R10" s="2"/>
      <c r="S10" s="2"/>
    </row>
    <row r="11" spans="2:20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20" x14ac:dyDescent="0.3">
      <c r="B12" s="222" t="s">
        <v>37</v>
      </c>
      <c r="C12" s="222"/>
      <c r="D12" s="222"/>
      <c r="E12" s="222"/>
      <c r="F12" s="2"/>
      <c r="G12" s="222" t="s">
        <v>45</v>
      </c>
      <c r="H12" s="222"/>
      <c r="I12" s="222"/>
      <c r="J12" s="222"/>
      <c r="K12" s="2"/>
      <c r="L12" s="221" t="s">
        <v>44</v>
      </c>
      <c r="M12" s="221"/>
      <c r="N12" s="221"/>
      <c r="O12" s="221"/>
      <c r="P12" s="2"/>
      <c r="Q12" s="2"/>
      <c r="R12" s="2"/>
      <c r="S12" s="2"/>
    </row>
    <row r="13" spans="2:20" x14ac:dyDescent="0.3">
      <c r="B13" s="4">
        <v>2024</v>
      </c>
      <c r="C13" s="4">
        <v>2023</v>
      </c>
      <c r="D13" s="4">
        <v>2022</v>
      </c>
      <c r="E13" s="4">
        <v>2021</v>
      </c>
      <c r="F13" s="2"/>
      <c r="G13" s="4">
        <v>2024</v>
      </c>
      <c r="H13" s="4">
        <v>2023</v>
      </c>
      <c r="I13" s="4">
        <v>2022</v>
      </c>
      <c r="J13" s="4">
        <v>2021</v>
      </c>
      <c r="K13" s="2"/>
      <c r="L13" s="4">
        <v>2024</v>
      </c>
      <c r="M13" s="4">
        <v>2023</v>
      </c>
      <c r="N13" s="4">
        <v>2022</v>
      </c>
      <c r="O13" s="4">
        <v>2021</v>
      </c>
      <c r="P13" s="2"/>
      <c r="Q13" s="2"/>
      <c r="R13" s="2"/>
      <c r="S13" s="2"/>
    </row>
    <row r="14" spans="2:20" x14ac:dyDescent="0.3">
      <c r="B14" s="5">
        <f>('ESTADO DE RESULTADOS'!B8+'ESTADO DE RESULTADOS'!B9+'ESTADO DE RESULTADOS'!B10+COSTOS!E11)/'ESTADO DE RESULTADOS'!B6</f>
        <v>0.34075096081601142</v>
      </c>
      <c r="C14" s="3">
        <f>('ESTADO DE RESULTADOS'!D8+'ESTADO DE RESULTADOS'!D9+'ESTADO DE RESULTADOS'!D10+COSTOS!D11)/'ESTADO DE RESULTADOS'!D6</f>
        <v>0.40777095277715036</v>
      </c>
      <c r="D14" s="3">
        <f>('ESTADO DE RESULTADOS'!G8+'ESTADO DE RESULTADOS'!G9+'ESTADO DE RESULTADOS'!G10+COSTOS!C11)/'ESTADO DE RESULTADOS'!G6</f>
        <v>0.17141466469566236</v>
      </c>
      <c r="E14" s="3">
        <f>('ESTADO DE RESULTADOS'!J8+'ESTADO DE RESULTADOS'!J9+'ESTADO DE RESULTADOS'!J10+COSTOS!B11)/'ESTADO DE RESULTADOS'!J6</f>
        <v>1.2773037308959883E-2</v>
      </c>
      <c r="F14" s="2"/>
      <c r="G14" s="5">
        <f>'ESTADO DE RESULTADOS'!C15</f>
        <v>5.6265794063261654E-2</v>
      </c>
      <c r="H14" s="5">
        <f>'ESTADO DE RESULTADOS'!E15</f>
        <v>0.12568843340118871</v>
      </c>
      <c r="I14" s="5">
        <f>'ESTADO DE RESULTADOS'!H15</f>
        <v>0.12914538528429292</v>
      </c>
      <c r="J14" s="5">
        <f>'ESTADO DE RESULTADOS'!K15</f>
        <v>6.5908091708844083E-2</v>
      </c>
      <c r="K14" s="2"/>
      <c r="L14" s="6">
        <f>BALANCE!B11/BALANCE!B28</f>
        <v>0.10158437415601569</v>
      </c>
      <c r="M14" s="6">
        <f>BALANCE!D11/BALANCE!D28</f>
        <v>0.33643903605830339</v>
      </c>
      <c r="N14" s="6">
        <f>BALANCE!F11/BALANCE!F28</f>
        <v>0.51831069199245849</v>
      </c>
      <c r="O14" s="6">
        <f>BALANCE!H11/BALANCE!H28</f>
        <v>1.0402666983081572</v>
      </c>
      <c r="P14" s="2"/>
      <c r="Q14" s="2"/>
      <c r="R14" s="2"/>
      <c r="S14" s="2"/>
    </row>
    <row r="15" spans="2:20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20" x14ac:dyDescent="0.3">
      <c r="B16" s="222" t="s">
        <v>46</v>
      </c>
      <c r="C16" s="222"/>
      <c r="D16" s="222"/>
      <c r="E16" s="222"/>
      <c r="F16" s="2"/>
      <c r="G16" s="222" t="s">
        <v>48</v>
      </c>
      <c r="H16" s="222"/>
      <c r="I16" s="222"/>
      <c r="J16" s="222"/>
      <c r="K16" s="2"/>
      <c r="L16" s="2"/>
      <c r="M16" s="2"/>
      <c r="N16" s="2"/>
      <c r="O16" s="2"/>
      <c r="P16" s="2"/>
      <c r="Q16" s="2"/>
      <c r="R16" s="2"/>
      <c r="S16" s="2"/>
    </row>
    <row r="17" spans="2:19" x14ac:dyDescent="0.3">
      <c r="B17" s="4">
        <v>2024</v>
      </c>
      <c r="C17" s="4">
        <v>2023</v>
      </c>
      <c r="D17" s="4">
        <v>2022</v>
      </c>
      <c r="E17" s="4">
        <v>2021</v>
      </c>
      <c r="F17" s="2"/>
      <c r="G17" s="4">
        <v>2024</v>
      </c>
      <c r="H17" s="4">
        <v>2023</v>
      </c>
      <c r="I17" s="4">
        <v>2022</v>
      </c>
      <c r="J17" s="4">
        <v>2021</v>
      </c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3">
      <c r="B18" s="3">
        <f>(COSTOS!E24+COSTOS!E27)/((BALANCE!B16+BALANCE!D16)/2)</f>
        <v>0.23249151817055019</v>
      </c>
      <c r="C18" s="3">
        <f>(COSTOS!D24+COSTOS!D27)/((BALANCE!D16+BALANCE!F16)/2)</f>
        <v>0.34936599006454183</v>
      </c>
      <c r="D18" s="3">
        <f>(COSTOS!C24+COSTOS!C27)/((BALANCE!F16+BALANCE!H16)/2)</f>
        <v>0.13555458196176998</v>
      </c>
      <c r="E18" s="3" t="s">
        <v>129</v>
      </c>
      <c r="F18" s="2"/>
      <c r="G18" s="4">
        <f>BALANCE!B12/BALANCE!B28</f>
        <v>1.3746879632559663</v>
      </c>
      <c r="H18" s="4">
        <f>BALANCE!D12/BALANCE!D28</f>
        <v>1.4484074341280786</v>
      </c>
      <c r="I18" s="4">
        <f>BALANCE!F12/BALANCE!F28</f>
        <v>1.9275246883549924</v>
      </c>
      <c r="J18" s="4">
        <f>BALANCE!H12/BALANCE!H28</f>
        <v>1.9832721408669423</v>
      </c>
      <c r="K18" s="2"/>
      <c r="L18" s="2"/>
      <c r="M18" s="2"/>
      <c r="N18" s="2"/>
      <c r="O18" s="2"/>
      <c r="P18" s="2"/>
      <c r="Q18" s="2"/>
      <c r="R18" s="2"/>
      <c r="S18" s="2"/>
    </row>
    <row r="19" spans="2:19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x14ac:dyDescent="0.3">
      <c r="B20" s="222" t="s">
        <v>49</v>
      </c>
      <c r="C20" s="222"/>
      <c r="D20" s="222"/>
      <c r="E20" s="222"/>
      <c r="F20" s="2"/>
      <c r="G20" s="222" t="s">
        <v>47</v>
      </c>
      <c r="H20" s="222"/>
      <c r="I20" s="222"/>
      <c r="J20" s="222"/>
      <c r="K20" s="2"/>
      <c r="L20" s="2"/>
      <c r="M20" s="2"/>
      <c r="N20" s="2"/>
      <c r="O20" s="2"/>
      <c r="P20" s="2"/>
      <c r="Q20" s="2"/>
      <c r="R20" s="2"/>
      <c r="S20" s="2"/>
    </row>
    <row r="21" spans="2:19" x14ac:dyDescent="0.3">
      <c r="B21" s="4">
        <v>2024</v>
      </c>
      <c r="C21" s="4">
        <v>2023</v>
      </c>
      <c r="D21" s="4">
        <v>2022</v>
      </c>
      <c r="E21" s="4">
        <v>2021</v>
      </c>
      <c r="F21" s="2"/>
      <c r="G21" s="4">
        <v>2024</v>
      </c>
      <c r="H21" s="4">
        <v>2023</v>
      </c>
      <c r="I21" s="4">
        <v>2022</v>
      </c>
      <c r="J21" s="4">
        <v>2021</v>
      </c>
      <c r="K21" s="2"/>
      <c r="L21" s="2"/>
      <c r="M21" s="2"/>
      <c r="N21" s="2"/>
      <c r="O21" s="2"/>
      <c r="P21" s="2"/>
      <c r="Q21" s="2"/>
      <c r="R21" s="2"/>
      <c r="S21" s="2"/>
    </row>
    <row r="22" spans="2:19" x14ac:dyDescent="0.3">
      <c r="B22" s="4">
        <f>('ESTADO DE RESULTADOS'!B6-COSTOS!E2-COSTOS!E3-COSTOS!E4-COSTOS!E12-COSTOS!E19)/('ESTADO DE RESULTADOS'!B8+'ESTADO DE RESULTADOS'!B9+'ESTADO DE RESULTADOS'!B10)</f>
        <v>1.6398574864504221</v>
      </c>
      <c r="C22" s="4">
        <f>('ESTADO DE RESULTADOS'!D6-COSTOS!D2-COSTOS!D3-COSTOS!D4-COSTOS!D12-COSTOS!D19)/('ESTADO DE RESULTADOS'!D8+'ESTADO DE RESULTADOS'!D9+'ESTADO DE RESULTADOS'!D10)</f>
        <v>1.4108190817665223</v>
      </c>
      <c r="D22" s="7">
        <f>('ESTADO DE RESULTADOS'!G6-COSTOS!C2-COSTOS!C3-COSTOS!C4-COSTOS!C12-COSTOS!C19)/('ESTADO DE RESULTADOS'!G8+'ESTADO DE RESULTADOS'!G9+'ESTADO DE RESULTADOS'!G10)</f>
        <v>2.0030897980754445</v>
      </c>
      <c r="E22" s="7">
        <f>('ESTADO DE RESULTADOS'!J6-COSTOS!B2-COSTOS!B3-COSTOS!B4-COSTOS!B12-COSTOS!B19)/('ESTADO DE RESULTADOS'!J8+'ESTADO DE RESULTADOS'!J9+'ESTADO DE RESULTADOS'!J10)</f>
        <v>-30.1974543655795</v>
      </c>
      <c r="F22" s="2"/>
      <c r="G22" s="4">
        <f>BALANCE!B25/BALANCE!B28</f>
        <v>0.37468796325596637</v>
      </c>
      <c r="H22" s="4">
        <f>BALANCE!D25/BALANCE!D28</f>
        <v>0.44840743412807843</v>
      </c>
      <c r="I22" s="4">
        <f>BALANCE!F25/BALANCE!F28</f>
        <v>0.92752468835499247</v>
      </c>
      <c r="J22" s="4">
        <f>BALANCE!H25/BALANCE!H28</f>
        <v>0.98327214086694226</v>
      </c>
      <c r="K22" s="2"/>
      <c r="L22" s="2"/>
      <c r="M22" s="2"/>
      <c r="N22" s="2"/>
      <c r="O22" s="2"/>
      <c r="P22" s="2"/>
      <c r="Q22" s="2"/>
      <c r="R22" s="2"/>
      <c r="S22" s="2"/>
    </row>
  </sheetData>
  <mergeCells count="15">
    <mergeCell ref="B16:E16"/>
    <mergeCell ref="B20:E20"/>
    <mergeCell ref="G7:J8"/>
    <mergeCell ref="G12:J12"/>
    <mergeCell ref="G16:J16"/>
    <mergeCell ref="G20:J20"/>
    <mergeCell ref="Q3:T3"/>
    <mergeCell ref="Q7:T7"/>
    <mergeCell ref="B3:E3"/>
    <mergeCell ref="B7:E8"/>
    <mergeCell ref="B12:E12"/>
    <mergeCell ref="L3:O3"/>
    <mergeCell ref="L7:O7"/>
    <mergeCell ref="L12:O12"/>
    <mergeCell ref="G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6AC9-3B3F-4D22-85D6-695E3E1174BD}">
  <dimension ref="A1"/>
  <sheetViews>
    <sheetView topLeftCell="A2" workbookViewId="0">
      <selection activeCell="M29" sqref="M29"/>
    </sheetView>
  </sheetViews>
  <sheetFormatPr baseColWidth="10" defaultColWidth="11.5546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TODOS LOS ANIOS</vt:lpstr>
      <vt:lpstr>ESP $</vt:lpstr>
      <vt:lpstr>ER $</vt:lpstr>
      <vt:lpstr>INDICADORES</vt:lpstr>
      <vt:lpstr>DuPont</vt:lpstr>
      <vt:lpstr>EFE</vt:lpstr>
      <vt:lpstr>COSTOS</vt:lpstr>
      <vt:lpstr>BALANCE</vt:lpstr>
      <vt:lpstr>ESTADO DE RESULTADOS</vt:lpstr>
      <vt:lpstr>ratio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juan pablo zappettini</cp:lastModifiedBy>
  <dcterms:created xsi:type="dcterms:W3CDTF">2025-07-04T15:34:40Z</dcterms:created>
  <dcterms:modified xsi:type="dcterms:W3CDTF">2026-01-08T03:39:30Z</dcterms:modified>
</cp:coreProperties>
</file>