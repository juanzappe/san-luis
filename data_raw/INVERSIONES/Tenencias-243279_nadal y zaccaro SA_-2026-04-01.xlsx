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8"/>
  <workbookPr/>
  <mc:AlternateContent>
    <mc:Choice Requires="x15">
      <x15ac:absPath xmlns:x15ac="http://schemas.microsoft.com/office/spreadsheetml/2010/11/ac" url="/Users/inviu/Downloads/"/>
    </mc:Choice>
  </mc:AlternateContent>
  <xr:revisionPtr revIDLastSave="0" documentId="13_ncr:1_{CE03FB96-E6B8-EC4D-B858-A3A3C8F8010B}" xr6:coauthVersionLast="47" xr6:coauthVersionMax="47" xr10:uidLastSave="{00000000-0000-0000-0000-000000000000}"/>
  <bookViews>
    <workbookView xWindow="36000" yWindow="2280" windowWidth="38400" windowHeight="20240" xr2:uid="{00000000-000D-0000-FFFF-FFFF00000000}"/>
  </bookViews>
  <sheets>
    <sheet name="Sheet1" sheetId="1" r:id="rId1"/>
  </sheets>
  <definedNames>
    <definedName name="_xlnm._FilterDatabase" localSheetId="0" hidden="1">Sheet1!$A$10:$N$11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Victor Grycuk</author>
  </authors>
  <commentList/>
</comments>
</file>

<file path=xl/sharedStrings.xml><?xml version="1.0" encoding="utf-8"?>
<sst xmlns="http://schemas.openxmlformats.org/spreadsheetml/2006/main" count="359" uniqueCount="93">
  <si>
    <t>Fecha de solicitud:</t>
  </si>
  <si>
    <t>${date} ${time}</t>
  </si>
  <si>
    <t>Comitente:</t>
  </si>
  <si>
    <t>${account}</t>
  </si>
  <si>
    <t>Fecha de valuación:</t>
  </si>
  <si>
    <t>${valuationDate}</t>
  </si>
  <si>
    <t>Nombre y apellido:</t>
  </si>
  <si>
    <t>${fullName}</t>
  </si>
  <si>
    <t>TC USD MEP:</t>
  </si>
  <si>
    <t>${exchangeRateUSD}</t>
  </si>
  <si>
    <t>TC USD CCL:</t>
  </si>
  <si>
    <t>${exchangeRateUSDC}</t>
  </si>
  <si>
    <t>Tenencias en Portfolio</t>
  </si>
  <si>
    <t>Ticker</t>
  </si>
  <si>
    <t>Nombre</t>
  </si>
  <si>
    <t>Cantidad</t>
  </si>
  <si>
    <t>Garantía</t>
  </si>
  <si>
    <t>Disponibles</t>
  </si>
  <si>
    <t>Moneda</t>
  </si>
  <si>
    <t>Precio actual</t>
  </si>
  <si>
    <t>Monto $</t>
  </si>
  <si>
    <t>Equivalente U$S</t>
  </si>
  <si>
    <t>Costo (PPC)</t>
  </si>
  <si>
    <t>Monto invertido</t>
  </si>
  <si>
    <t>Resultado</t>
  </si>
  <si>
    <t>Var %</t>
  </si>
  <si>
    <t>MTM Acumulado</t>
  </si>
  <si>
    <t>${holding.ticker}</t>
  </si>
  <si>
    <t>${holding.name}</t>
  </si>
  <si>
    <t>${holding.unavailableQuantity}</t>
  </si>
  <si>
    <t>${holding.availableQuantity}</t>
  </si>
  <si>
    <t>${holding.currency}</t>
  </si>
  <si>
    <t>${holding.price}</t>
  </si>
  <si>
    <t>${holding.averagePurchasePrice}</t>
  </si>
  <si>
    <t>${holding.performance}</t>
  </si>
  <si>
    <t>Subtotal ${_group.item.subTotalLabel}</t>
  </si>
  <si>
    <t>Total</t>
  </si>
  <si>
    <r>
      <t>Tipo de Activo</t>
    </r>
    <r>
      <rPr>
        <sz val="11"/>
        <color rgb="FFFFFFFF"/>
        <rFont val="Calibri"/>
        <family val="2"/>
        <charset val="1"/>
      </rPr>
      <t>: ${_group.item.assetType}</t>
    </r>
  </si>
  <si>
    <t/>
  </si>
  <si>
    <t>01/04/2026 13:55:26</t>
  </si>
  <si>
    <t>243279</t>
  </si>
  <si>
    <t>Tipo de Activo: Moneda</t>
  </si>
  <si>
    <t>ARS</t>
  </si>
  <si>
    <t>Pesos</t>
  </si>
  <si>
    <t>USD</t>
  </si>
  <si>
    <t>Dólar</t>
  </si>
  <si>
    <t>Subtotal Disponibilidades</t>
  </si>
  <si>
    <t>Tipo de Activo: Bonos</t>
  </si>
  <si>
    <t>S29Y6</t>
  </si>
  <si>
    <t>Letra Rep. Argentina Vto. 29/05/2026</t>
  </si>
  <si>
    <t>AE38</t>
  </si>
  <si>
    <t>Bono USD 2038</t>
  </si>
  <si>
    <t>PLC4O</t>
  </si>
  <si>
    <t>USD ON PLUSPETROL SA Vto. 29/05/2032</t>
  </si>
  <si>
    <t>AL35</t>
  </si>
  <si>
    <t>Bono USD 2035</t>
  </si>
  <si>
    <t>MGCOO</t>
  </si>
  <si>
    <t>USD ON PAMPA ENERGIA SA Vto.16/12/2034</t>
  </si>
  <si>
    <t>X29Y6</t>
  </si>
  <si>
    <t>Letra Arg a Dto CER Vto. 29/05/2026</t>
  </si>
  <si>
    <t>TLCMO</t>
  </si>
  <si>
    <t>USD ON TELECOM ARGENTINA Vto18/7/2031</t>
  </si>
  <si>
    <t>YM34O</t>
  </si>
  <si>
    <t>YPF SA Vto. 17/01/2034</t>
  </si>
  <si>
    <t>IRCPO</t>
  </si>
  <si>
    <t>IRSA Inversiones y Representaciones SA Vto. 31/03/2035</t>
  </si>
  <si>
    <t>Subtotal Bonos</t>
  </si>
  <si>
    <t>Tipo de Activo: Acciones</t>
  </si>
  <si>
    <t>GGAL</t>
  </si>
  <si>
    <t>Grupo Financiero Galicia</t>
  </si>
  <si>
    <t>PAMP</t>
  </si>
  <si>
    <t>Pampa Energia SA</t>
  </si>
  <si>
    <t>YPFD</t>
  </si>
  <si>
    <t>YPF S.A.</t>
  </si>
  <si>
    <t>Subtotal Acciones</t>
  </si>
  <si>
    <t>Tipo de Activo: Cedear</t>
  </si>
  <si>
    <t>NU</t>
  </si>
  <si>
    <t>NU Holdings Ltd</t>
  </si>
  <si>
    <t>COPX</t>
  </si>
  <si>
    <t>CEDEAR GLOBAL X COPPER MINERS ETF</t>
  </si>
  <si>
    <t>XLV</t>
  </si>
  <si>
    <t>THE HEALTH CARE SELECT SECTOR SPDR FUND</t>
  </si>
  <si>
    <t>QQQ</t>
  </si>
  <si>
    <t>Invesco QQQ Trust</t>
  </si>
  <si>
    <t>MSFT</t>
  </si>
  <si>
    <t>Microsoft Corp</t>
  </si>
  <si>
    <t>SPY</t>
  </si>
  <si>
    <t>SPDR S&amp;P 500</t>
  </si>
  <si>
    <t>ILF</t>
  </si>
  <si>
    <t>CEDEAR ISHARES LATIN AMERICA 40 ETF</t>
  </si>
  <si>
    <t>Subtotal Cedears</t>
  </si>
  <si>
    <t>06/04/2026</t>
  </si>
  <si>
    <t xml:space="preserve"> nadal y zaccaro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</si>
</sst>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USD]\ #,##0.00;[Red][$USD]\ #,##0.00"/>
    <numFmt numFmtId="165" formatCode="0.00;\-"/>
    <numFmt numFmtId="166" formatCode="#,##0.00;[Red]\-#,##0.00;\-"/>
    <numFmt numFmtId="167" formatCode="[$$-409]#,##0.00;[Red]\-[$$-409]#,##0.00"/>
    <numFmt numFmtId="168" formatCode="[$USD]\ #,##0.00;[Red]\-[$USD]\ #,##0.00"/>
    <numFmt numFmtId="169" formatCode="[$$-409]#,##0.00;[Red]\-[$$-409]#,##0.00;\-"/>
    <numFmt numFmtId="170" formatCode="0.00;[Red]\-0.00;\-"/>
  </numFmts>
  <fonts count="10" x14ac:knownFonts="1">
    <font>
      <sz val="11"/>
      <color theme="1"/>
      <name val="Calibri"/>
      <family val="2"/>
      <scheme val="minor"/>
    </font>
    <font>
      <b/>
      <sz val="10"/>
      <name val="Arial"/>
      <family val="2"/>
      <charset val="1"/>
    </font>
    <font>
      <b/>
      <sz val="11"/>
      <color rgb="FFFFFFFF"/>
      <name val="Calibri"/>
      <family val="2"/>
      <charset val="1"/>
    </font>
    <font>
      <sz val="11"/>
      <color rgb="FFFFFFFF"/>
      <name val="Calibri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9"/>
      <color indexed="81"/>
      <name val="Tahoma"/>
      <family val="2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003334"/>
        <bgColor rgb="FF003300"/>
      </patternFill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165" fontId="0" fillId="2" borderId="0" xfId="0" applyNumberFormat="1" applyFill="1"/>
    <xf numFmtId="0" fontId="2" fillId="3" borderId="0" xfId="0" applyFont="1" applyFill="1"/>
    <xf numFmtId="0" fontId="4" fillId="3" borderId="0" xfId="0" applyFont="1" applyFill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64" fontId="0" fillId="0" borderId="0" xfId="0" applyNumberFormat="1"/>
    <xf numFmtId="0" fontId="5" fillId="0" borderId="0" xfId="0" applyFont="1"/>
    <xf numFmtId="0" fontId="7" fillId="4" borderId="0" xfId="0" applyFont="1" applyFill="1"/>
    <xf numFmtId="0" fontId="9" fillId="2" borderId="0" xfId="0" applyFont="1" applyFill="1"/>
    <xf numFmtId="15" fontId="0" fillId="2" borderId="0" xfId="0" applyNumberFormat="1" applyFill="1"/>
  </cellXfs>
  <cellStyles count="1">
    <cellStyle name="Normal" xfId="0" builtinId="0"/>
  </cellStyles>
  <dxfs count="1">
    <dxf>
      <font>
        <sz val="11"/>
        <color rgb="FF000000"/>
        <name val="Calibri"/>
      </font>
      <numFmt numFmtId="164" formatCode="[$USD]\ #,##0.00;[Red][$USD]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8</xdr:col>
      <xdr:colOff>0</xdr:colOff>
      <xdr:row>1</xdr:row>
      <xdr:rowOff>0</xdr:rowOff>
    </xdr:from>
    <xdr:to>
      <xdr:col>11</xdr:col>
      <xdr:colOff>0</xdr:colOff>
      <xdr:row>6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562350" cy="809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Relationship Id="rId4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workbookViewId="0">
      <selection activeCell="C13" sqref="C13"/>
    </sheetView>
  </sheetViews>
  <sheetFormatPr baseColWidth="10" defaultColWidth="9.1640625" defaultRowHeight="15" x14ac:dyDescent="0.2"/>
  <cols>
    <col min="1" max="1" customWidth="true" width="19.5" collapsed="false"/>
    <col min="2" max="2" bestFit="true" customWidth="true" width="35.83203125" collapsed="false"/>
    <col min="3" max="3" customWidth="true" width="11.1640625" collapsed="false"/>
    <col min="4" max="4" customWidth="true" width="11.83203125" collapsed="false"/>
    <col min="5" max="5" customWidth="true" width="17.83203125" collapsed="false"/>
    <col min="6" max="6" customWidth="true" width="10.6640625" collapsed="false"/>
    <col min="7" max="7" customWidth="true" width="15.5" collapsed="false"/>
    <col min="8" max="8" customWidth="true" width="17.5" collapsed="false"/>
    <col min="9" max="9" customWidth="true" width="16.33203125" collapsed="false"/>
    <col min="10" max="10" customWidth="true" width="18.6640625" collapsed="false"/>
    <col min="11" max="11" customWidth="true" width="18.5" collapsed="false"/>
    <col min="12" max="12" customWidth="true" width="20.5" collapsed="false"/>
    <col min="14" max="14" customWidth="true" hidden="true" width="16.83203125" collapsed="false"/>
    <col min="13" max="13" width="10.0" customWidth="true"/>
  </cols>
  <sheetData>
    <row r="1" spans="1:14" x14ac:dyDescent="0.2">
      <c r="A1" s="1"/>
      <c r="B1" s="1"/>
      <c r="C1" s="1"/>
      <c r="D1" s="1"/>
      <c r="E1" s="1"/>
      <c r="F1" s="1"/>
      <c r="G1" s="1"/>
      <c r="H1" s="2"/>
      <c r="I1" s="2"/>
      <c r="J1" s="2"/>
      <c r="K1" s="1"/>
      <c r="L1" s="1"/>
      <c r="M1" s="1"/>
      <c r="N1" s="1"/>
    </row>
    <row r="2" spans="1:14" ht="12.75" customHeight="1" x14ac:dyDescent="0.2">
      <c r="A2" s="3" t="s">
        <v>0</v>
      </c>
      <c r="B2" s="1" t="s">
        <v>39</v>
      </c>
      <c r="C2" s="1"/>
      <c r="D2" s="1"/>
      <c r="E2" s="3" t="s">
        <v>2</v>
      </c>
      <c r="F2" s="1" t="s">
        <v>40</v>
      </c>
      <c r="G2" s="1"/>
      <c r="H2" s="2"/>
      <c r="I2" s="0"/>
      <c r="J2" s="0"/>
      <c r="K2" s="0"/>
      <c r="L2" s="1"/>
      <c r="M2" s="1"/>
      <c r="N2" s="1"/>
    </row>
    <row r="3" spans="1:14" ht="12.75" customHeight="1" x14ac:dyDescent="0.2">
      <c r="A3" s="3" t="s">
        <v>4</v>
      </c>
      <c r="B3" s="1" t="s">
        <v>91</v>
      </c>
      <c r="C3" s="1"/>
      <c r="D3" s="1"/>
      <c r="E3" s="3" t="s">
        <v>6</v>
      </c>
      <c r="F3" s="1" t="s">
        <v>92</v>
      </c>
      <c r="G3" s="1"/>
      <c r="H3" s="2"/>
      <c r="I3" s="0"/>
      <c r="J3" s="0"/>
      <c r="K3" s="0"/>
      <c r="L3" s="1"/>
      <c r="M3" s="1"/>
      <c r="N3" s="1"/>
    </row>
    <row r="4" spans="1:14" ht="12.75" customHeight="1" x14ac:dyDescent="0.2">
      <c r="A4" s="3" t="s">
        <v>8</v>
      </c>
      <c r="B4" s="4" t="n">
        <v>1427.4</v>
      </c>
      <c r="C4" s="1"/>
      <c r="D4" s="1"/>
      <c r="E4" s="1"/>
      <c r="F4" s="1"/>
      <c r="G4" s="1"/>
      <c r="H4" s="1"/>
      <c r="I4" s="0"/>
      <c r="J4" s="0"/>
      <c r="K4" s="0"/>
      <c r="L4" s="1"/>
      <c r="M4" s="1"/>
      <c r="N4" s="1"/>
    </row>
    <row r="5" spans="1:14" ht="12.75" customHeight="1" x14ac:dyDescent="0.2">
      <c r="A5" s="3" t="s">
        <v>10</v>
      </c>
      <c r="B5" s="4" t="n">
        <v>1479.73</v>
      </c>
      <c r="C5" s="1"/>
      <c r="D5" s="1"/>
      <c r="E5" s="1"/>
      <c r="F5" s="1"/>
      <c r="G5" s="1"/>
      <c r="H5" s="1"/>
      <c r="I5" s="0"/>
      <c r="J5" s="0"/>
      <c r="K5" s="0"/>
      <c r="L5" s="1"/>
      <c r="M5" s="1"/>
      <c r="N5" s="1"/>
    </row>
    <row r="6" spans="1:14" ht="12.75" customHeight="1" x14ac:dyDescent="0.2">
      <c r="A6" s="1"/>
      <c r="B6" s="1"/>
      <c r="C6" s="1"/>
      <c r="D6" s="1"/>
      <c r="E6" s="1"/>
      <c r="F6" s="1"/>
      <c r="G6" s="1"/>
      <c r="H6" s="15"/>
      <c r="I6" s="0"/>
      <c r="J6" s="0"/>
      <c r="K6" s="0"/>
      <c r="L6" s="1"/>
      <c r="M6" s="1"/>
      <c r="N6" s="1"/>
    </row>
    <row r="7" spans="1:14" x14ac:dyDescent="0.2" ht="15.0" customHeight="true">
      <c r="A7" s="3" t="s">
        <v>12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" ht="15.0" customHeight="true">
      <c r="A8" s="1"/>
      <c r="B8" s="1"/>
      <c r="C8" s="1"/>
      <c r="D8" s="1"/>
      <c r="E8" s="16"/>
      <c r="F8" s="1"/>
      <c r="G8" s="1"/>
      <c r="H8" s="1"/>
      <c r="I8" s="1"/>
      <c r="J8" s="1"/>
      <c r="K8" s="1"/>
      <c r="L8" s="1"/>
      <c r="M8" s="1"/>
      <c r="N8" s="1"/>
    </row>
    <row r="9" spans="1:14" x14ac:dyDescent="0.2" ht="15.0" customHeight="true">
      <c r="A9" s="5" t="s">
        <v>41</v>
      </c>
      <c r="B9" s="5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2" ht="15.0" customHeight="true">
      <c r="A10" s="6" t="s">
        <v>13</v>
      </c>
      <c r="B10" s="6" t="s">
        <v>14</v>
      </c>
      <c r="C10" s="6" t="s">
        <v>15</v>
      </c>
      <c r="D10" s="6" t="s">
        <v>16</v>
      </c>
      <c r="E10" s="6" t="s">
        <v>17</v>
      </c>
      <c r="F10" s="6" t="s">
        <v>18</v>
      </c>
      <c r="G10" s="6" t="s">
        <v>19</v>
      </c>
      <c r="H10" s="6" t="s">
        <v>20</v>
      </c>
      <c r="I10" s="6" t="s">
        <v>21</v>
      </c>
      <c r="J10" s="6" t="s">
        <v>22</v>
      </c>
      <c r="K10" s="6" t="s">
        <v>23</v>
      </c>
      <c r="L10" s="6" t="s">
        <v>24</v>
      </c>
      <c r="M10" s="6" t="s">
        <v>25</v>
      </c>
      <c r="N10" s="6" t="s">
        <v>26</v>
      </c>
    </row>
    <row r="11" spans="1:14" x14ac:dyDescent="0.2" ht="15.0" customHeight="true">
      <c r="A11" s="0" t="s">
        <v>42</v>
      </c>
      <c r="B11" s="0" t="s">
        <v>43</v>
      </c>
      <c r="C11" s="0" t="n">
        <f>SUM(D11:E11)</f>
      </c>
      <c r="D11" s="7" t="n">
        <v>0.0</v>
      </c>
      <c r="E11" s="0" t="n">
        <v>96.61</v>
      </c>
      <c r="F11" s="0" t="s">
        <v>42</v>
      </c>
      <c r="G11" s="8" t="n">
        <v>1.0</v>
      </c>
      <c r="H11" s="8" t="n">
        <f>IF(N11="Tipo de Activo: FUTURE",0,IF(F11="USDC", C11 * G11 * $B$5, IF(F11="ARS", C11 * G11, C11 * G11 * $B$4)))</f>
      </c>
      <c r="I11" s="9" t="n">
        <f>IF(N11="Tipo de Activo: FUTURE",0,IF(F11="USDC", C11 * G11 * $B$5 / $B$4, IF(F11="ARS", C11 * G11 / $B$4, C11 * G11)))</f>
      </c>
      <c r="J11" s="10" t="n">
        <v>0.0</v>
      </c>
      <c r="K11" s="10" t="n">
        <f>IF(N11="Tipo de Activo: FUTURE",0,C11*J11)</f>
      </c>
      <c r="L11" s="10" t="n">
        <f>IF(N11="Tipo de Activo: FUTURE",(G11-J11)*C11*1000,IF(J11 &gt; 0, IF(A11="CT", IF(F11="ARS", (G11 + J11), ((G11 * $B$4) + (J11 * $B$4))), IF(F11="USDC", (C11 * G11 * $B$5) - (C11 * J11 * $B$5), IF(F11="ARS", (C11 * G11) - (C11 * J11), (C11 * G11 * $B$4) - (C11 * J11 * $B$4) ))), 0))</f>
      </c>
      <c r="M11" s="11" t="n">
        <v>0.0</v>
      </c>
      <c r="N11" s="0" t="s">
        <v>41</v>
      </c>
    </row>
    <row r="12" ht="15.0" customHeight="true">
      <c r="A12" t="s" s="0">
        <v>44</v>
      </c>
      <c r="B12" t="s" s="0">
        <v>45</v>
      </c>
      <c r="C12" t="n" s="0">
        <f>SUM(D12:E12)</f>
      </c>
      <c r="D12" t="n" s="7">
        <v>0.0</v>
      </c>
      <c r="E12" t="n" s="0">
        <v>175.49</v>
      </c>
      <c r="F12" t="s" s="0">
        <v>42</v>
      </c>
      <c r="G12" t="n" s="8">
        <v>1427.4</v>
      </c>
      <c r="H12" t="n" s="8">
        <f>IF(N12="Tipo de Activo: FUTURE",0,IF(F12="USDC", C12 * G12 * $B$5, IF(F12="ARS", C12 * G12, C12 * G12 * $B$4)))</f>
      </c>
      <c r="I12" t="n" s="9">
        <f>IF(N12="Tipo de Activo: FUTURE",0,IF(F12="USDC", C12 * G12 * $B$5 / $B$4, IF(F12="ARS", C12 * G12 / $B$4, C12 * G12)))</f>
      </c>
      <c r="J12" t="n" s="10">
        <v>0.0</v>
      </c>
      <c r="K12" t="n" s="10">
        <f>IF(N12="Tipo de Activo: FUTURE",0,C12*J12)</f>
      </c>
      <c r="L12" t="n" s="10">
        <f>IF(N12="Tipo de Activo: FUTURE",(G12-J12)*C12*1000,IF(J12 &gt; 0, IF(A12="CT", IF(F12="ARS", (G12 + J12), ((G12 * $B$4) + (J12 * $B$4))), IF(F12="USDC", (C12 * G12 * $B$5) - (C12 * J12 * $B$5), IF(F12="ARS", (C12 * G12) - (C12 * J12), (C12 * G12 * $B$4) - (C12 * J12 * $B$4) ))), 0))</f>
      </c>
      <c r="M12" t="n" s="11">
        <v>0.0</v>
      </c>
      <c r="N12" t="s" s="0">
        <v>41</v>
      </c>
    </row>
    <row r="13" spans="1:14" x14ac:dyDescent="0.2">
      <c r="B13" s="0"/>
      <c r="H13" s="0"/>
      <c r="I13" s="0"/>
      <c r="L13" s="0"/>
    </row>
    <row r="14" spans="1:14" x14ac:dyDescent="0.2" ht="15.0" customHeight="true">
      <c r="B14" t="s" s="0">
        <v>46</v>
      </c>
      <c r="H14" s="8" t="n">
        <f>SUM(H11:H12)</f>
      </c>
      <c r="I14" s="9" t="n">
        <f>SUM(I11:I12)</f>
      </c>
      <c r="L14" s="8" t="n">
        <f>SUM(L11:L12)</f>
      </c>
    </row>
    <row r="15" ht="15.0" customHeight="true">
      <c r="H15" s="8"/>
      <c r="I15" s="12"/>
      <c r="L15" s="8"/>
    </row>
    <row r="16" spans="1:14" x14ac:dyDescent="0.2" ht="15.0" customHeight="true">
      <c r="A16" t="s" s="5">
        <v>47</v>
      </c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ht="15.0" customHeight="true">
      <c r="A17" t="s" s="6">
        <v>13</v>
      </c>
      <c r="B17" t="s" s="6">
        <v>14</v>
      </c>
      <c r="C17" t="s" s="6">
        <v>15</v>
      </c>
      <c r="D17" t="s" s="6">
        <v>16</v>
      </c>
      <c r="E17" t="s" s="6">
        <v>17</v>
      </c>
      <c r="F17" t="s" s="6">
        <v>18</v>
      </c>
      <c r="G17" t="s" s="6">
        <v>19</v>
      </c>
      <c r="H17" t="s" s="6">
        <v>20</v>
      </c>
      <c r="I17" t="s" s="6">
        <v>21</v>
      </c>
      <c r="J17" t="s" s="6">
        <v>22</v>
      </c>
      <c r="K17" t="s" s="6">
        <v>23</v>
      </c>
      <c r="L17" t="s" s="6">
        <v>24</v>
      </c>
      <c r="M17" t="s" s="6">
        <v>25</v>
      </c>
      <c r="N17" t="s" s="6">
        <v>26</v>
      </c>
    </row>
    <row r="18" ht="15.0" customHeight="true">
      <c r="A18" t="s" s="0">
        <v>48</v>
      </c>
      <c r="B18" t="s" s="0">
        <v>49</v>
      </c>
      <c r="C18" t="n" s="0">
        <f>SUM(D18:E18)</f>
      </c>
      <c r="D18" t="n" s="7">
        <v>0.0</v>
      </c>
      <c r="E18" t="n" s="0">
        <v>9846708.0</v>
      </c>
      <c r="F18" t="s" s="0">
        <v>42</v>
      </c>
      <c r="G18" t="n" s="8">
        <v>1.2732999999999999</v>
      </c>
      <c r="H18" t="n" s="8">
        <f>IF(N18="Tipo de Activo: FUTURE",0,IF(F18="USDC", C18 * G18 * $B$5, IF(F18="ARS", C18 * G18, C18 * G18 * $B$4)))</f>
      </c>
      <c r="I18" t="n" s="9">
        <f>IF(N18="Tipo de Activo: FUTURE",0,IF(F18="USDC", C18 * G18 * $B$5 / $B$4, IF(F18="ARS", C18 * G18 / $B$4, C18 * G18)))</f>
      </c>
      <c r="J18" t="n" s="10">
        <v>1.239771</v>
      </c>
      <c r="K18" t="n" s="10">
        <f>IF(N18="Tipo de Activo: FUTURE",0,C18*J18)</f>
      </c>
      <c r="L18" t="n" s="10">
        <f>IF(N18="Tipo de Activo: FUTURE",(G18-J18)*C18*1000,IF(J18 &gt; 0, IF(A18="CT", IF(F18="ARS", (G18 + J18), ((G18 * $B$4) + (J18 * $B$4))), IF(F18="USDC", (C18 * G18 * $B$5) - (C18 * J18 * $B$5), IF(F18="ARS", (C18 * G18) - (C18 * J18), (C18 * G18 * $B$4) - (C18 * J18 * $B$4) ))), 0))</f>
      </c>
      <c r="M18" t="n" s="11">
        <v>2.704451063946479</v>
      </c>
      <c r="N18" t="s" s="0">
        <v>47</v>
      </c>
    </row>
    <row r="19" ht="15.0" customHeight="true">
      <c r="A19" t="s" s="0">
        <v>50</v>
      </c>
      <c r="B19" t="s" s="0">
        <v>51</v>
      </c>
      <c r="C19" t="n" s="0">
        <f>SUM(D19:E19)</f>
      </c>
      <c r="D19" t="n" s="7">
        <v>0.0</v>
      </c>
      <c r="E19" t="n" s="0">
        <v>2143.0</v>
      </c>
      <c r="F19" t="s" s="0">
        <v>42</v>
      </c>
      <c r="G19" t="n" s="8">
        <v>1114.2</v>
      </c>
      <c r="H19" t="n" s="8">
        <f>IF(N19="Tipo de Activo: FUTURE",0,IF(F19="USDC", C19 * G19 * $B$5, IF(F19="ARS", C19 * G19, C19 * G19 * $B$4)))</f>
      </c>
      <c r="I19" t="n" s="9">
        <f>IF(N19="Tipo de Activo: FUTURE",0,IF(F19="USDC", C19 * G19 * $B$5 / $B$4, IF(F19="ARS", C19 * G19 / $B$4, C19 * G19)))</f>
      </c>
      <c r="J19" t="n" s="10">
        <v>1016.261436</v>
      </c>
      <c r="K19" t="n" s="10">
        <f>IF(N19="Tipo de Activo: FUTURE",0,C19*J19)</f>
      </c>
      <c r="L19" t="n" s="10">
        <f>IF(N19="Tipo de Activo: FUTURE",(G19-J19)*C19*1000,IF(J19 &gt; 0, IF(A19="CT", IF(F19="ARS", (G19 + J19), ((G19 * $B$4) + (J19 * $B$4))), IF(F19="USDC", (C19 * G19 * $B$5) - (C19 * J19 * $B$5), IF(F19="ARS", (C19 * G19) - (C19 * J19), (C19 * G19 * $B$4) - (C19 * J19 * $B$4) ))), 0))</f>
      </c>
      <c r="M19" t="n" s="11">
        <v>9.637142622029003</v>
      </c>
      <c r="N19" t="s" s="0">
        <v>47</v>
      </c>
    </row>
    <row r="20" ht="15.0" customHeight="true">
      <c r="A20" t="s" s="0">
        <v>52</v>
      </c>
      <c r="B20" t="s" s="0">
        <v>53</v>
      </c>
      <c r="C20" t="n" s="0">
        <f>SUM(D20:E20)</f>
      </c>
      <c r="D20" t="n" s="7">
        <v>0.0</v>
      </c>
      <c r="E20" t="n" s="0">
        <v>5000.0</v>
      </c>
      <c r="F20" t="s" s="0">
        <v>42</v>
      </c>
      <c r="G20" t="n" s="8">
        <v>1588.3</v>
      </c>
      <c r="H20" t="n" s="8">
        <f>IF(N20="Tipo de Activo: FUTURE",0,IF(F20="USDC", C20 * G20 * $B$5, IF(F20="ARS", C20 * G20, C20 * G20 * $B$4)))</f>
      </c>
      <c r="I20" t="n" s="9">
        <f>IF(N20="Tipo de Activo: FUTURE",0,IF(F20="USDC", C20 * G20 * $B$5 / $B$4, IF(F20="ARS", C20 * G20 / $B$4, C20 * G20)))</f>
      </c>
      <c r="J20" t="n" s="10">
        <v>1560.377546</v>
      </c>
      <c r="K20" t="n" s="10">
        <f>IF(N20="Tipo de Activo: FUTURE",0,C20*J20)</f>
      </c>
      <c r="L20" t="n" s="10">
        <f>IF(N20="Tipo de Activo: FUTURE",(G20-J20)*C20*1000,IF(J20 &gt; 0, IF(A20="CT", IF(F20="ARS", (G20 + J20), ((G20 * $B$4) + (J20 * $B$4))), IF(F20="USDC", (C20 * G20 * $B$5) - (C20 * J20 * $B$5), IF(F20="ARS", (C20 * G20) - (C20 * J20), (C20 * G20 * $B$4) - (C20 * J20 * $B$4) ))), 0))</f>
      </c>
      <c r="M20" t="n" s="11">
        <v>1.789467816399865</v>
      </c>
      <c r="N20" t="s" s="0">
        <v>47</v>
      </c>
    </row>
    <row r="21" ht="15.0" customHeight="true">
      <c r="A21" t="s" s="0">
        <v>54</v>
      </c>
      <c r="B21" t="s" s="0">
        <v>55</v>
      </c>
      <c r="C21" t="n" s="0">
        <f>SUM(D21:E21)</f>
      </c>
      <c r="D21" t="n" s="7">
        <v>0.0</v>
      </c>
      <c r="E21" t="n" s="0">
        <v>9267.0</v>
      </c>
      <c r="F21" t="s" s="0">
        <v>42</v>
      </c>
      <c r="G21" t="n" s="8">
        <v>1075.9</v>
      </c>
      <c r="H21" t="n" s="8">
        <f>IF(N21="Tipo de Activo: FUTURE",0,IF(F21="USDC", C21 * G21 * $B$5, IF(F21="ARS", C21 * G21, C21 * G21 * $B$4)))</f>
      </c>
      <c r="I21" t="n" s="9">
        <f>IF(N21="Tipo de Activo: FUTURE",0,IF(F21="USDC", C21 * G21 * $B$5 / $B$4, IF(F21="ARS", C21 * G21 / $B$4, C21 * G21)))</f>
      </c>
      <c r="J21" t="n" s="10">
        <v>1089.979522</v>
      </c>
      <c r="K21" t="n" s="10">
        <f>IF(N21="Tipo de Activo: FUTURE",0,C21*J21)</f>
      </c>
      <c r="L21" t="n" s="10">
        <f>IF(N21="Tipo de Activo: FUTURE",(G21-J21)*C21*1000,IF(J21 &gt; 0, IF(A21="CT", IF(F21="ARS", (G21 + J21), ((G21 * $B$4) + (J21 * $B$4))), IF(F21="USDC", (C21 * G21 * $B$5) - (C21 * J21 * $B$5), IF(F21="ARS", (C21 * G21) - (C21 * J21), (C21 * G21 * $B$4) - (C21 * J21 * $B$4) ))), 0))</f>
      </c>
      <c r="M21" t="n" s="11">
        <v>-1.291723533866538</v>
      </c>
      <c r="N21" t="s" s="0">
        <v>47</v>
      </c>
    </row>
    <row r="22" ht="15.0" customHeight="true">
      <c r="A22" t="s" s="0">
        <v>56</v>
      </c>
      <c r="B22" t="s" s="0">
        <v>57</v>
      </c>
      <c r="C22" t="n" s="0">
        <f>SUM(D22:E22)</f>
      </c>
      <c r="D22" t="n" s="7">
        <v>0.0</v>
      </c>
      <c r="E22" t="n" s="0">
        <v>10000.0</v>
      </c>
      <c r="F22" t="s" s="0">
        <v>42</v>
      </c>
      <c r="G22" t="n" s="8">
        <v>1563.0</v>
      </c>
      <c r="H22" t="n" s="8">
        <f>IF(N22="Tipo de Activo: FUTURE",0,IF(F22="USDC", C22 * G22 * $B$5, IF(F22="ARS", C22 * G22, C22 * G22 * $B$4)))</f>
      </c>
      <c r="I22" t="n" s="9">
        <f>IF(N22="Tipo de Activo: FUTURE",0,IF(F22="USDC", C22 * G22 * $B$5 / $B$4, IF(F22="ARS", C22 * G22 / $B$4, C22 * G22)))</f>
      </c>
      <c r="J22" t="n" s="10">
        <v>1557.60347</v>
      </c>
      <c r="K22" t="n" s="10">
        <f>IF(N22="Tipo de Activo: FUTURE",0,C22*J22)</f>
      </c>
      <c r="L22" t="n" s="10">
        <f>IF(N22="Tipo de Activo: FUTURE",(G22-J22)*C22*1000,IF(J22 &gt; 0, IF(A22="CT", IF(F22="ARS", (G22 + J22), ((G22 * $B$4) + (J22 * $B$4))), IF(F22="USDC", (C22 * G22 * $B$5) - (C22 * J22 * $B$5), IF(F22="ARS", (C22 * G22) - (C22 * J22), (C22 * G22 * $B$4) - (C22 * J22 * $B$4) ))), 0))</f>
      </c>
      <c r="M22" t="n" s="11">
        <v>0.34646366061318545</v>
      </c>
      <c r="N22" t="s" s="0">
        <v>47</v>
      </c>
    </row>
    <row r="23" ht="15.0" customHeight="true">
      <c r="A23" t="s" s="0">
        <v>58</v>
      </c>
      <c r="B23" t="s" s="0">
        <v>59</v>
      </c>
      <c r="C23" t="n" s="0">
        <f>SUM(D23:E23)</f>
      </c>
      <c r="D23" t="n" s="7">
        <v>0.0</v>
      </c>
      <c r="E23" t="n" s="0">
        <v>9017100.0</v>
      </c>
      <c r="F23" t="s" s="0">
        <v>42</v>
      </c>
      <c r="G23" t="n" s="8">
        <v>1.1340000000000001</v>
      </c>
      <c r="H23" t="n" s="8">
        <f>IF(N23="Tipo de Activo: FUTURE",0,IF(F23="USDC", C23 * G23 * $B$5, IF(F23="ARS", C23 * G23, C23 * G23 * $B$4)))</f>
      </c>
      <c r="I23" t="n" s="9">
        <f>IF(N23="Tipo de Activo: FUTURE",0,IF(F23="USDC", C23 * G23 * $B$5 / $B$4, IF(F23="ARS", C23 * G23 / $B$4, C23 * G23)))</f>
      </c>
      <c r="J23" t="n" s="10">
        <v>1.132652</v>
      </c>
      <c r="K23" t="n" s="10">
        <f>IF(N23="Tipo de Activo: FUTURE",0,C23*J23)</f>
      </c>
      <c r="L23" t="n" s="10">
        <f>IF(N23="Tipo de Activo: FUTURE",(G23-J23)*C23*1000,IF(J23 &gt; 0, IF(A23="CT", IF(F23="ARS", (G23 + J23), ((G23 * $B$4) + (J23 * $B$4))), IF(F23="USDC", (C23 * G23 * $B$5) - (C23 * J23 * $B$5), IF(F23="ARS", (C23 * G23) - (C23 * J23), (C23 * G23 * $B$4) - (C23 * J23 * $B$4) ))), 0))</f>
      </c>
      <c r="M23" t="n" s="11">
        <v>0.11901272412003863</v>
      </c>
      <c r="N23" t="s" s="0">
        <v>47</v>
      </c>
    </row>
    <row r="24" ht="15.0" customHeight="true">
      <c r="A24" t="s" s="0">
        <v>60</v>
      </c>
      <c r="B24" t="s" s="0">
        <v>61</v>
      </c>
      <c r="C24" t="n" s="0">
        <f>SUM(D24:E24)</f>
      </c>
      <c r="D24" t="n" s="7">
        <v>0.0</v>
      </c>
      <c r="E24" t="n" s="0">
        <v>1000.0</v>
      </c>
      <c r="F24" t="s" s="0">
        <v>42</v>
      </c>
      <c r="G24" t="n" s="8">
        <v>1591.4</v>
      </c>
      <c r="H24" t="n" s="8">
        <f>IF(N24="Tipo de Activo: FUTURE",0,IF(F24="USDC", C24 * G24 * $B$5, IF(F24="ARS", C24 * G24, C24 * G24 * $B$4)))</f>
      </c>
      <c r="I24" t="n" s="9">
        <f>IF(N24="Tipo de Activo: FUTURE",0,IF(F24="USDC", C24 * G24 * $B$5 / $B$4, IF(F24="ARS", C24 * G24 / $B$4, C24 * G24)))</f>
      </c>
      <c r="J24" t="n" s="10">
        <v>1287.446671</v>
      </c>
      <c r="K24" t="n" s="10">
        <f>IF(N24="Tipo de Activo: FUTURE",0,C24*J24)</f>
      </c>
      <c r="L24" t="n" s="10">
        <f>IF(N24="Tipo de Activo: FUTURE",(G24-J24)*C24*1000,IF(J24 &gt; 0, IF(A24="CT", IF(F24="ARS", (G24 + J24), ((G24 * $B$4) + (J24 * $B$4))), IF(F24="USDC", (C24 * G24 * $B$5) - (C24 * J24 * $B$5), IF(F24="ARS", (C24 * G24) - (C24 * J24), (C24 * G24 * $B$4) - (C24 * J24 * $B$4) ))), 0))</f>
      </c>
      <c r="M24" t="n" s="11">
        <v>23.60900345207386</v>
      </c>
      <c r="N24" t="s" s="0">
        <v>47</v>
      </c>
    </row>
    <row r="25" ht="15.0" customHeight="true">
      <c r="A25" t="s" s="0">
        <v>62</v>
      </c>
      <c r="B25" t="s" s="0">
        <v>63</v>
      </c>
      <c r="C25" t="n" s="0">
        <f>SUM(D25:E25)</f>
      </c>
      <c r="D25" t="n" s="7">
        <v>0.0</v>
      </c>
      <c r="E25" t="n" s="0">
        <v>4423.0</v>
      </c>
      <c r="F25" t="s" s="0">
        <v>42</v>
      </c>
      <c r="G25" t="n" s="8">
        <v>1542.0</v>
      </c>
      <c r="H25" t="n" s="8">
        <f>IF(N25="Tipo de Activo: FUTURE",0,IF(F25="USDC", C25 * G25 * $B$5, IF(F25="ARS", C25 * G25, C25 * G25 * $B$4)))</f>
      </c>
      <c r="I25" t="n" s="9">
        <f>IF(N25="Tipo de Activo: FUTURE",0,IF(F25="USDC", C25 * G25 * $B$5 / $B$4, IF(F25="ARS", C25 * G25 / $B$4, C25 * G25)))</f>
      </c>
      <c r="J25" t="n" s="10">
        <v>1412.504467</v>
      </c>
      <c r="K25" t="n" s="10">
        <f>IF(N25="Tipo de Activo: FUTURE",0,C25*J25)</f>
      </c>
      <c r="L25" t="n" s="10">
        <f>IF(N25="Tipo de Activo: FUTURE",(G25-J25)*C25*1000,IF(J25 &gt; 0, IF(A25="CT", IF(F25="ARS", (G25 + J25), ((G25 * $B$4) + (J25 * $B$4))), IF(F25="USDC", (C25 * G25 * $B$5) - (C25 * J25 * $B$5), IF(F25="ARS", (C25 * G25) - (C25 * J25), (C25 * G25 * $B$4) - (C25 * J25 * $B$4) ))), 0))</f>
      </c>
      <c r="M25" t="n" s="11">
        <v>9.167796352179607</v>
      </c>
      <c r="N25" t="s" s="0">
        <v>47</v>
      </c>
    </row>
    <row r="26" ht="15.0" customHeight="true">
      <c r="A26" t="s" s="0">
        <v>64</v>
      </c>
      <c r="B26" t="s" s="0">
        <v>65</v>
      </c>
      <c r="C26" t="n" s="0">
        <f>SUM(D26:E26)</f>
      </c>
      <c r="D26" t="n" s="7">
        <v>0.0</v>
      </c>
      <c r="E26" t="n" s="0">
        <v>7214.0</v>
      </c>
      <c r="F26" t="s" s="0">
        <v>42</v>
      </c>
      <c r="G26" t="n" s="8">
        <v>1511.0</v>
      </c>
      <c r="H26" t="n" s="8">
        <f>IF(N26="Tipo de Activo: FUTURE",0,IF(F26="USDC", C26 * G26 * $B$5, IF(F26="ARS", C26 * G26, C26 * G26 * $B$4)))</f>
      </c>
      <c r="I26" t="n" s="9">
        <f>IF(N26="Tipo de Activo: FUTURE",0,IF(F26="USDC", C26 * G26 * $B$5 / $B$4, IF(F26="ARS", C26 * G26 / $B$4, C26 * G26)))</f>
      </c>
      <c r="J26" t="n" s="10">
        <v>1512.936625</v>
      </c>
      <c r="K26" t="n" s="10">
        <f>IF(N26="Tipo de Activo: FUTURE",0,C26*J26)</f>
      </c>
      <c r="L26" t="n" s="10">
        <f>IF(N26="Tipo de Activo: FUTURE",(G26-J26)*C26*1000,IF(J26 &gt; 0, IF(A26="CT", IF(F26="ARS", (G26 + J26), ((G26 * $B$4) + (J26 * $B$4))), IF(F26="USDC", (C26 * G26 * $B$5) - (C26 * J26 * $B$5), IF(F26="ARS", (C26 * G26) - (C26 * J26), (C26 * G26 * $B$4) - (C26 * J26 * $B$4) ))), 0))</f>
      </c>
      <c r="M26" t="n" s="11">
        <v>-0.12800437030863734</v>
      </c>
      <c r="N26" t="s" s="0">
        <v>47</v>
      </c>
    </row>
    <row r="28" ht="15.0" customHeight="true">
      <c r="B28" t="s" s="0">
        <v>66</v>
      </c>
      <c r="H28" t="n" s="8">
        <f>SUM(H18:H26)</f>
      </c>
      <c r="I28" t="n" s="9">
        <f>SUM(I18:I26)</f>
      </c>
      <c r="L28" t="n" s="8">
        <f>SUM(L18:L26)</f>
      </c>
    </row>
    <row r="29" ht="15.0" customHeight="true">
      <c r="H29" s="8"/>
      <c r="I29" s="12"/>
      <c r="L29" s="8"/>
    </row>
    <row r="30" ht="15.0" customHeight="true">
      <c r="A30" t="s" s="5">
        <v>67</v>
      </c>
      <c r="B30" s="5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ht="15.0" customHeight="true">
      <c r="A31" t="s" s="6">
        <v>13</v>
      </c>
      <c r="B31" t="s" s="6">
        <v>14</v>
      </c>
      <c r="C31" t="s" s="6">
        <v>15</v>
      </c>
      <c r="D31" t="s" s="6">
        <v>16</v>
      </c>
      <c r="E31" t="s" s="6">
        <v>17</v>
      </c>
      <c r="F31" t="s" s="6">
        <v>18</v>
      </c>
      <c r="G31" t="s" s="6">
        <v>19</v>
      </c>
      <c r="H31" t="s" s="6">
        <v>20</v>
      </c>
      <c r="I31" t="s" s="6">
        <v>21</v>
      </c>
      <c r="J31" t="s" s="6">
        <v>22</v>
      </c>
      <c r="K31" t="s" s="6">
        <v>23</v>
      </c>
      <c r="L31" t="s" s="6">
        <v>24</v>
      </c>
      <c r="M31" t="s" s="6">
        <v>25</v>
      </c>
      <c r="N31" t="s" s="6">
        <v>26</v>
      </c>
    </row>
    <row r="32" ht="15.0" customHeight="true">
      <c r="A32" t="s" s="0">
        <v>68</v>
      </c>
      <c r="B32" t="s" s="0">
        <v>69</v>
      </c>
      <c r="C32" t="n" s="0">
        <f>SUM(D32:E32)</f>
      </c>
      <c r="D32" t="n" s="7">
        <v>0.0</v>
      </c>
      <c r="E32" t="n" s="0">
        <v>172.0</v>
      </c>
      <c r="F32" t="s" s="0">
        <v>42</v>
      </c>
      <c r="G32" t="n" s="8">
        <v>6835.0</v>
      </c>
      <c r="H32" t="n" s="8">
        <f>IF(N32="Tipo de Activo: FUTURE",0,IF(F32="USDC", C32 * G32 * $B$5, IF(F32="ARS", C32 * G32, C32 * G32 * $B$4)))</f>
      </c>
      <c r="I32" t="n" s="9">
        <f>IF(N32="Tipo de Activo: FUTURE",0,IF(F32="USDC", C32 * G32 * $B$5 / $B$4, IF(F32="ARS", C32 * G32 / $B$4, C32 * G32)))</f>
      </c>
      <c r="J32" t="n" s="10">
        <v>8022.329535</v>
      </c>
      <c r="K32" t="n" s="10">
        <f>IF(N32="Tipo de Activo: FUTURE",0,C32*J32)</f>
      </c>
      <c r="L32" t="n" s="10">
        <f>IF(N32="Tipo de Activo: FUTURE",(G32-J32)*C32*1000,IF(J32 &gt; 0, IF(A32="CT", IF(F32="ARS", (G32 + J32), ((G32 * $B$4) + (J32 * $B$4))), IF(F32="USDC", (C32 * G32 * $B$5) - (C32 * J32 * $B$5), IF(F32="ARS", (C32 * G32) - (C32 * J32), (C32 * G32 * $B$4) - (C32 * J32 * $B$4) ))), 0))</f>
      </c>
      <c r="M32" t="n" s="11">
        <v>-14.800308686147732</v>
      </c>
      <c r="N32" t="s" s="0">
        <v>67</v>
      </c>
    </row>
    <row r="33" ht="15.0" customHeight="true">
      <c r="A33" t="s" s="0">
        <v>70</v>
      </c>
      <c r="B33" t="s" s="0">
        <v>71</v>
      </c>
      <c r="C33" t="n" s="0">
        <f>SUM(D33:E33)</f>
      </c>
      <c r="D33" t="n" s="7">
        <v>0.0</v>
      </c>
      <c r="E33" t="n" s="0">
        <v>337.0</v>
      </c>
      <c r="F33" t="s" s="0">
        <v>42</v>
      </c>
      <c r="G33" t="n" s="8">
        <v>5175.0</v>
      </c>
      <c r="H33" t="n" s="8">
        <f>IF(N33="Tipo de Activo: FUTURE",0,IF(F33="USDC", C33 * G33 * $B$5, IF(F33="ARS", C33 * G33, C33 * G33 * $B$4)))</f>
      </c>
      <c r="I33" t="n" s="9">
        <f>IF(N33="Tipo de Activo: FUTURE",0,IF(F33="USDC", C33 * G33 * $B$5 / $B$4, IF(F33="ARS", C33 * G33 / $B$4, C33 * G33)))</f>
      </c>
      <c r="J33" t="n" s="10">
        <v>5108.774154</v>
      </c>
      <c r="K33" t="n" s="10">
        <f>IF(N33="Tipo de Activo: FUTURE",0,C33*J33)</f>
      </c>
      <c r="L33" t="n" s="10">
        <f>IF(N33="Tipo de Activo: FUTURE",(G33-J33)*C33*1000,IF(J33 &gt; 0, IF(A33="CT", IF(F33="ARS", (G33 + J33), ((G33 * $B$4) + (J33 * $B$4))), IF(F33="USDC", (C33 * G33 * $B$5) - (C33 * J33 * $B$5), IF(F33="ARS", (C33 * G33) - (C33 * J33), (C33 * G33 * $B$4) - (C33 * J33 * $B$4) ))), 0))</f>
      </c>
      <c r="M33" t="n" s="11">
        <v>1.2963157893395496</v>
      </c>
      <c r="N33" t="s" s="0">
        <v>67</v>
      </c>
    </row>
    <row r="34" ht="15.0" customHeight="true">
      <c r="A34" t="s" s="0">
        <v>72</v>
      </c>
      <c r="B34" t="s" s="0">
        <v>73</v>
      </c>
      <c r="C34" t="n" s="0">
        <f>SUM(D34:E34)</f>
      </c>
      <c r="D34" t="n" s="7">
        <v>0.0</v>
      </c>
      <c r="E34" t="n" s="0">
        <v>31.0</v>
      </c>
      <c r="F34" t="s" s="0">
        <v>42</v>
      </c>
      <c r="G34" t="n" s="8">
        <v>66050.0</v>
      </c>
      <c r="H34" t="n" s="8">
        <f>IF(N34="Tipo de Activo: FUTURE",0,IF(F34="USDC", C34 * G34 * $B$5, IF(F34="ARS", C34 * G34, C34 * G34 * $B$4)))</f>
      </c>
      <c r="I34" t="n" s="9">
        <f>IF(N34="Tipo de Activo: FUTURE",0,IF(F34="USDC", C34 * G34 * $B$5 / $B$4, IF(F34="ARS", C34 * G34 / $B$4, C34 * G34)))</f>
      </c>
      <c r="J34" t="n" s="10">
        <v>55743.520968</v>
      </c>
      <c r="K34" t="n" s="10">
        <f>IF(N34="Tipo de Activo: FUTURE",0,C34*J34)</f>
      </c>
      <c r="L34" t="n" s="10">
        <f>IF(N34="Tipo de Activo: FUTURE",(G34-J34)*C34*1000,IF(J34 &gt; 0, IF(A34="CT", IF(F34="ARS", (G34 + J34), ((G34 * $B$4) + (J34 * $B$4))), IF(F34="USDC", (C34 * G34 * $B$5) - (C34 * J34 * $B$5), IF(F34="ARS", (C34 * G34) - (C34 * J34), (C34 * G34 * $B$4) - (C34 * J34 * $B$4) ))), 0))</f>
      </c>
      <c r="M34" t="n" s="11">
        <v>18.489106631632605</v>
      </c>
      <c r="N34" t="s" s="0">
        <v>67</v>
      </c>
    </row>
    <row r="36" ht="15.0" customHeight="true">
      <c r="B36" t="s" s="0">
        <v>74</v>
      </c>
      <c r="H36" t="n" s="8">
        <f>SUM(H32:H34)</f>
      </c>
      <c r="I36" t="n" s="9">
        <f>SUM(I32:I34)</f>
      </c>
      <c r="L36" t="n" s="8">
        <f>SUM(L32:L34)</f>
      </c>
    </row>
    <row r="37" ht="15.0" customHeight="true">
      <c r="H37" s="8"/>
      <c r="I37" s="12"/>
      <c r="L37" s="8"/>
    </row>
    <row r="38" ht="15.0" customHeight="true">
      <c r="A38" t="s" s="5">
        <v>75</v>
      </c>
      <c r="B38" s="5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ht="15.0" customHeight="true">
      <c r="A39" t="s" s="6">
        <v>13</v>
      </c>
      <c r="B39" t="s" s="6">
        <v>14</v>
      </c>
      <c r="C39" t="s" s="6">
        <v>15</v>
      </c>
      <c r="D39" t="s" s="6">
        <v>16</v>
      </c>
      <c r="E39" t="s" s="6">
        <v>17</v>
      </c>
      <c r="F39" t="s" s="6">
        <v>18</v>
      </c>
      <c r="G39" t="s" s="6">
        <v>19</v>
      </c>
      <c r="H39" t="s" s="6">
        <v>20</v>
      </c>
      <c r="I39" t="s" s="6">
        <v>21</v>
      </c>
      <c r="J39" t="s" s="6">
        <v>22</v>
      </c>
      <c r="K39" t="s" s="6">
        <v>23</v>
      </c>
      <c r="L39" t="s" s="6">
        <v>24</v>
      </c>
      <c r="M39" t="s" s="6">
        <v>25</v>
      </c>
      <c r="N39" t="s" s="6">
        <v>26</v>
      </c>
    </row>
    <row r="40" ht="15.0" customHeight="true">
      <c r="A40" t="s" s="0">
        <v>76</v>
      </c>
      <c r="B40" t="s" s="0">
        <v>77</v>
      </c>
      <c r="C40" t="n" s="0">
        <f>SUM(D40:E40)</f>
      </c>
      <c r="D40" t="n" s="7">
        <v>0.0</v>
      </c>
      <c r="E40" t="n" s="0">
        <v>120.0</v>
      </c>
      <c r="F40" t="s" s="0">
        <v>42</v>
      </c>
      <c r="G40" t="n" s="8">
        <v>10910.0</v>
      </c>
      <c r="H40" t="n" s="8">
        <f>IF(N40="Tipo de Activo: FUTURE",0,IF(F40="USDC", C40 * G40 * $B$5, IF(F40="ARS", C40 * G40, C40 * G40 * $B$4)))</f>
      </c>
      <c r="I40" t="n" s="9">
        <f>IF(N40="Tipo de Activo: FUTURE",0,IF(F40="USDC", C40 * G40 * $B$5 / $B$4, IF(F40="ARS", C40 * G40 / $B$4, C40 * G40)))</f>
      </c>
      <c r="J40" t="n" s="10">
        <v>11395.334583</v>
      </c>
      <c r="K40" t="n" s="10">
        <f>IF(N40="Tipo de Activo: FUTURE",0,C40*J40)</f>
      </c>
      <c r="L40" t="n" s="10">
        <f>IF(N40="Tipo de Activo: FUTURE",(G40-J40)*C40*1000,IF(J40 &gt; 0, IF(A40="CT", IF(F40="ARS", (G40 + J40), ((G40 * $B$4) + (J40 * $B$4))), IF(F40="USDC", (C40 * G40 * $B$5) - (C40 * J40 * $B$5), IF(F40="ARS", (C40 * G40) - (C40 * J40), (C40 * G40 * $B$4) - (C40 * J40 * $B$4) ))), 0))</f>
      </c>
      <c r="M40" t="n" s="11">
        <v>-4.259063913086333</v>
      </c>
      <c r="N40" t="s" s="0">
        <v>75</v>
      </c>
    </row>
    <row r="41" ht="15.0" customHeight="true">
      <c r="A41" t="s" s="0">
        <v>78</v>
      </c>
      <c r="B41" t="s" s="0">
        <v>79</v>
      </c>
      <c r="C41" t="n" s="0">
        <f>SUM(D41:E41)</f>
      </c>
      <c r="D41" t="n" s="7">
        <v>0.0</v>
      </c>
      <c r="E41" t="n" s="0">
        <v>183.0</v>
      </c>
      <c r="F41" t="s" s="0">
        <v>42</v>
      </c>
      <c r="G41" t="n" s="8">
        <v>8395.0</v>
      </c>
      <c r="H41" t="n" s="8">
        <f>IF(N41="Tipo de Activo: FUTURE",0,IF(F41="USDC", C41 * G41 * $B$5, IF(F41="ARS", C41 * G41, C41 * G41 * $B$4)))</f>
      </c>
      <c r="I41" t="n" s="9">
        <f>IF(N41="Tipo de Activo: FUTURE",0,IF(F41="USDC", C41 * G41 * $B$5 / $B$4, IF(F41="ARS", C41 * G41 / $B$4, C41 * G41)))</f>
      </c>
      <c r="J41" t="n" s="10">
        <v>9346.791694</v>
      </c>
      <c r="K41" t="n" s="10">
        <f>IF(N41="Tipo de Activo: FUTURE",0,C41*J41)</f>
      </c>
      <c r="L41" t="n" s="10">
        <f>IF(N41="Tipo de Activo: FUTURE",(G41-J41)*C41*1000,IF(J41 &gt; 0, IF(A41="CT", IF(F41="ARS", (G41 + J41), ((G41 * $B$4) + (J41 * $B$4))), IF(F41="USDC", (C41 * G41 * $B$5) - (C41 * J41 * $B$5), IF(F41="ARS", (C41 * G41) - (C41 * J41), (C41 * G41 * $B$4) - (C41 * J41 * $B$4) ))), 0))</f>
      </c>
      <c r="M41" t="n" s="11">
        <v>-10.183084476045241</v>
      </c>
      <c r="N41" t="s" s="0">
        <v>75</v>
      </c>
    </row>
    <row r="42" ht="15.0" customHeight="true">
      <c r="A42" t="s" s="0">
        <v>80</v>
      </c>
      <c r="B42" t="s" s="0">
        <v>81</v>
      </c>
      <c r="C42" t="n" s="0">
        <f>SUM(D42:E42)</f>
      </c>
      <c r="D42" t="n" s="7">
        <v>0.0</v>
      </c>
      <c r="E42" t="n" s="0">
        <v>656.0</v>
      </c>
      <c r="F42" t="s" s="0">
        <v>42</v>
      </c>
      <c r="G42" t="n" s="8">
        <v>7575.0</v>
      </c>
      <c r="H42" t="n" s="8">
        <f>IF(N42="Tipo de Activo: FUTURE",0,IF(F42="USDC", C42 * G42 * $B$5, IF(F42="ARS", C42 * G42, C42 * G42 * $B$4)))</f>
      </c>
      <c r="I42" t="n" s="9">
        <f>IF(N42="Tipo de Activo: FUTURE",0,IF(F42="USDC", C42 * G42 * $B$5 / $B$4, IF(F42="ARS", C42 * G42 / $B$4, C42 * G42)))</f>
      </c>
      <c r="J42" t="n" s="10">
        <v>8239.824075</v>
      </c>
      <c r="K42" t="n" s="10">
        <f>IF(N42="Tipo de Activo: FUTURE",0,C42*J42)</f>
      </c>
      <c r="L42" t="n" s="10">
        <f>IF(N42="Tipo de Activo: FUTURE",(G42-J42)*C42*1000,IF(J42 &gt; 0, IF(A42="CT", IF(F42="ARS", (G42 + J42), ((G42 * $B$4) + (J42 * $B$4))), IF(F42="USDC", (C42 * G42 * $B$5) - (C42 * J42 * $B$5), IF(F42="ARS", (C42 * G42) - (C42 * J42), (C42 * G42 * $B$4) - (C42 * J42 * $B$4) ))), 0))</f>
      </c>
      <c r="M42" t="n" s="11">
        <v>-8.068425599244362</v>
      </c>
      <c r="N42" t="s" s="0">
        <v>75</v>
      </c>
    </row>
    <row r="43" ht="15.0" customHeight="true">
      <c r="A43" t="s" s="0">
        <v>82</v>
      </c>
      <c r="B43" t="s" s="0">
        <v>83</v>
      </c>
      <c r="C43" t="n" s="0">
        <f>SUM(D43:E43)</f>
      </c>
      <c r="D43" t="n" s="7">
        <v>0.0</v>
      </c>
      <c r="E43" t="n" s="0">
        <v>66.0</v>
      </c>
      <c r="F43" t="s" s="0">
        <v>42</v>
      </c>
      <c r="G43" t="n" s="8">
        <v>43500.0</v>
      </c>
      <c r="H43" t="n" s="8">
        <f>IF(N43="Tipo de Activo: FUTURE",0,IF(F43="USDC", C43 * G43 * $B$5, IF(F43="ARS", C43 * G43, C43 * G43 * $B$4)))</f>
      </c>
      <c r="I43" t="n" s="9">
        <f>IF(N43="Tipo de Activo: FUTURE",0,IF(F43="USDC", C43 * G43 * $B$5 / $B$4, IF(F43="ARS", C43 * G43 / $B$4, C43 * G43)))</f>
      </c>
      <c r="J43" t="n" s="10">
        <v>45143.056757</v>
      </c>
      <c r="K43" t="n" s="10">
        <f>IF(N43="Tipo de Activo: FUTURE",0,C43*J43)</f>
      </c>
      <c r="L43" t="n" s="10">
        <f>IF(N43="Tipo de Activo: FUTURE",(G43-J43)*C43*1000,IF(J43 &gt; 0, IF(A43="CT", IF(F43="ARS", (G43 + J43), ((G43 * $B$4) + (J43 * $B$4))), IF(F43="USDC", (C43 * G43 * $B$5) - (C43 * J43 * $B$5), IF(F43="ARS", (C43 * G43) - (C43 * J43), (C43 * G43 * $B$4) - (C43 * J43 * $B$4) ))), 0))</f>
      </c>
      <c r="M43" t="n" s="11">
        <v>-3.6396665955617267</v>
      </c>
      <c r="N43" t="s" s="0">
        <v>75</v>
      </c>
    </row>
    <row r="44" ht="15.0" customHeight="true">
      <c r="A44" t="s" s="0">
        <v>84</v>
      </c>
      <c r="B44" t="s" s="0">
        <v>85</v>
      </c>
      <c r="C44" t="n" s="0">
        <f>SUM(D44:E44)</f>
      </c>
      <c r="D44" t="n" s="7">
        <v>0.0</v>
      </c>
      <c r="E44" t="n" s="0">
        <v>76.0</v>
      </c>
      <c r="F44" t="s" s="0">
        <v>42</v>
      </c>
      <c r="G44" t="n" s="8">
        <v>18410.0</v>
      </c>
      <c r="H44" t="n" s="8">
        <f>IF(N44="Tipo de Activo: FUTURE",0,IF(F44="USDC", C44 * G44 * $B$5, IF(F44="ARS", C44 * G44, C44 * G44 * $B$4)))</f>
      </c>
      <c r="I44" t="n" s="9">
        <f>IF(N44="Tipo de Activo: FUTURE",0,IF(F44="USDC", C44 * G44 * $B$5 / $B$4, IF(F44="ARS", C44 * G44 / $B$4, C44 * G44)))</f>
      </c>
      <c r="J44" t="n" s="10">
        <v>18901.315141</v>
      </c>
      <c r="K44" t="n" s="10">
        <f>IF(N44="Tipo de Activo: FUTURE",0,C44*J44)</f>
      </c>
      <c r="L44" t="n" s="10">
        <f>IF(N44="Tipo de Activo: FUTURE",(G44-J44)*C44*1000,IF(J44 &gt; 0, IF(A44="CT", IF(F44="ARS", (G44 + J44), ((G44 * $B$4) + (J44 * $B$4))), IF(F44="USDC", (C44 * G44 * $B$5) - (C44 * J44 * $B$5), IF(F44="ARS", (C44 * G44) - (C44 * J44), (C44 * G44 * $B$4) - (C44 * J44 * $B$4) ))), 0))</f>
      </c>
      <c r="M44" t="n" s="11">
        <v>-2.5993701355428875</v>
      </c>
      <c r="N44" t="s" s="0">
        <v>75</v>
      </c>
    </row>
    <row r="45" ht="15.0" customHeight="true">
      <c r="A45" t="s" s="0">
        <v>86</v>
      </c>
      <c r="B45" t="s" s="0">
        <v>87</v>
      </c>
      <c r="C45" t="n" s="0">
        <f>SUM(D45:E45)</f>
      </c>
      <c r="D45" t="n" s="7">
        <v>0.0</v>
      </c>
      <c r="E45" t="n" s="0">
        <v>35.0</v>
      </c>
      <c r="F45" t="s" s="0">
        <v>42</v>
      </c>
      <c r="G45" t="n" s="8">
        <v>48720.0</v>
      </c>
      <c r="H45" t="n" s="8">
        <f>IF(N45="Tipo de Activo: FUTURE",0,IF(F45="USDC", C45 * G45 * $B$5, IF(F45="ARS", C45 * G45, C45 * G45 * $B$4)))</f>
      </c>
      <c r="I45" t="n" s="9">
        <f>IF(N45="Tipo de Activo: FUTURE",0,IF(F45="USDC", C45 * G45 * $B$5 / $B$4, IF(F45="ARS", C45 * G45 / $B$4, C45 * G45)))</f>
      </c>
      <c r="J45" t="n" s="10">
        <v>41198.742705</v>
      </c>
      <c r="K45" t="n" s="10">
        <f>IF(N45="Tipo de Activo: FUTURE",0,C45*J45)</f>
      </c>
      <c r="L45" t="n" s="10">
        <f>IF(N45="Tipo de Activo: FUTURE",(G45-J45)*C45*1000,IF(J45 &gt; 0, IF(A45="CT", IF(F45="ARS", (G45 + J45), ((G45 * $B$4) + (J45 * $B$4))), IF(F45="USDC", (C45 * G45 * $B$5) - (C45 * J45 * $B$5), IF(F45="ARS", (C45 * G45) - (C45 * J45), (C45 * G45 * $B$4) - (C45 * J45 * $B$4) ))), 0))</f>
      </c>
      <c r="M45" t="n" s="11">
        <v>18.256035988416702</v>
      </c>
      <c r="N45" t="s" s="0">
        <v>75</v>
      </c>
    </row>
    <row r="46" ht="15.0" customHeight="true">
      <c r="A46" t="s" s="0">
        <v>88</v>
      </c>
      <c r="B46" t="s" s="0">
        <v>89</v>
      </c>
      <c r="C46" t="n" s="0">
        <f>SUM(D46:E46)</f>
      </c>
      <c r="D46" t="n" s="7">
        <v>0.0</v>
      </c>
      <c r="E46" t="n" s="0">
        <v>195.0</v>
      </c>
      <c r="F46" t="s" s="0">
        <v>42</v>
      </c>
      <c r="G46" t="n" s="8">
        <v>8865.0</v>
      </c>
      <c r="H46" t="n" s="8">
        <f>IF(N46="Tipo de Activo: FUTURE",0,IF(F46="USDC", C46 * G46 * $B$5, IF(F46="ARS", C46 * G46, C46 * G46 * $B$4)))</f>
      </c>
      <c r="I46" t="n" s="9">
        <f>IF(N46="Tipo de Activo: FUTURE",0,IF(F46="USDC", C46 * G46 * $B$5 / $B$4, IF(F46="ARS", C46 * G46 / $B$4, C46 * G46)))</f>
      </c>
      <c r="J46" t="n" s="10">
        <v>8848.497436</v>
      </c>
      <c r="K46" t="n" s="10">
        <f>IF(N46="Tipo de Activo: FUTURE",0,C46*J46)</f>
      </c>
      <c r="L46" t="n" s="10">
        <f>IF(N46="Tipo de Activo: FUTURE",(G46-J46)*C46*1000,IF(J46 &gt; 0, IF(A46="CT", IF(F46="ARS", (G46 + J46), ((G46 * $B$4) + (J46 * $B$4))), IF(F46="USDC", (C46 * G46 * $B$5) - (C46 * J46 * $B$5), IF(F46="ARS", (C46 * G46) - (C46 * J46), (C46 * G46 * $B$4) - (C46 * J46 * $B$4) ))), 0))</f>
      </c>
      <c r="M46" t="n" s="11">
        <v>0.18650131414243878</v>
      </c>
      <c r="N46" t="s" s="0">
        <v>75</v>
      </c>
    </row>
    <row r="48" ht="15.0" customHeight="true">
      <c r="B48" t="s" s="0">
        <v>90</v>
      </c>
      <c r="H48" t="n" s="8">
        <f>SUM(H40:H46)</f>
      </c>
      <c r="I48" t="n" s="9">
        <f>SUM(I40:I46)</f>
      </c>
      <c r="L48" t="n" s="8">
        <f>SUM(L40:L46)</f>
      </c>
    </row>
    <row r="49" ht="15.0" customHeight="true">
      <c r="H49" s="8"/>
      <c r="I49" s="12"/>
      <c r="L49" s="8"/>
    </row>
    <row r="50" ht="15.0" customHeight="true"/>
    <row r="51" ht="15.0" customHeight="true">
      <c r="B51" t="s" s="13">
        <v>36</v>
      </c>
      <c r="H51" t="n" s="8">
        <f>SUM(H14,H28,H36,H48)</f>
      </c>
      <c r="I51" t="n" s="9">
        <f>SUM(I14,I28,I36,I48)</f>
      </c>
      <c r="L51" t="n" s="8">
        <f>SUM(L14,L28,L36,L48)</f>
      </c>
    </row>
  </sheetData>
  <conditionalFormatting sqref="">
    <cfRule type="cellIs" dxfId="0" priority="22" operator="notEqual">
      <formula>"ARS"</formula>
    </cfRule>
  </conditionalFormatting>
  <conditionalFormatting sqref="F11">
    <cfRule type="cellIs" dxfId="0" priority="2" operator="notEqual">
      <formula>"ARS"</formula>
    </cfRule>
  </conditionalFormatting>
  <conditionalFormatting sqref="F12">
    <cfRule type="cellIs" dxfId="0" priority="3" operator="notEqual">
      <formula>"ARS"</formula>
    </cfRule>
  </conditionalFormatting>
  <conditionalFormatting sqref="F18">
    <cfRule type="cellIs" dxfId="0" priority="4" operator="notEqual">
      <formula>"ARS"</formula>
    </cfRule>
  </conditionalFormatting>
  <conditionalFormatting sqref="F19">
    <cfRule type="cellIs" dxfId="0" priority="5" operator="notEqual">
      <formula>"ARS"</formula>
    </cfRule>
  </conditionalFormatting>
  <conditionalFormatting sqref="F20">
    <cfRule type="cellIs" dxfId="0" priority="6" operator="notEqual">
      <formula>"ARS"</formula>
    </cfRule>
  </conditionalFormatting>
  <conditionalFormatting sqref="F21">
    <cfRule type="cellIs" dxfId="0" priority="7" operator="notEqual">
      <formula>"ARS"</formula>
    </cfRule>
  </conditionalFormatting>
  <conditionalFormatting sqref="F22">
    <cfRule type="cellIs" dxfId="0" priority="8" operator="notEqual">
      <formula>"ARS"</formula>
    </cfRule>
  </conditionalFormatting>
  <conditionalFormatting sqref="F23">
    <cfRule type="cellIs" dxfId="0" priority="9" operator="notEqual">
      <formula>"ARS"</formula>
    </cfRule>
  </conditionalFormatting>
  <conditionalFormatting sqref="F24">
    <cfRule type="cellIs" dxfId="0" priority="10" operator="notEqual">
      <formula>"ARS"</formula>
    </cfRule>
  </conditionalFormatting>
  <conditionalFormatting sqref="F25">
    <cfRule type="cellIs" dxfId="0" priority="11" operator="notEqual">
      <formula>"ARS"</formula>
    </cfRule>
  </conditionalFormatting>
  <conditionalFormatting sqref="F26">
    <cfRule type="cellIs" dxfId="0" priority="12" operator="notEqual">
      <formula>"ARS"</formula>
    </cfRule>
  </conditionalFormatting>
  <conditionalFormatting sqref="F32">
    <cfRule type="cellIs" dxfId="0" priority="13" operator="notEqual">
      <formula>"ARS"</formula>
    </cfRule>
  </conditionalFormatting>
  <conditionalFormatting sqref="F33">
    <cfRule type="cellIs" dxfId="0" priority="14" operator="notEqual">
      <formula>"ARS"</formula>
    </cfRule>
  </conditionalFormatting>
  <conditionalFormatting sqref="F34">
    <cfRule type="cellIs" dxfId="0" priority="15" operator="notEqual">
      <formula>"ARS"</formula>
    </cfRule>
  </conditionalFormatting>
  <conditionalFormatting sqref="F40">
    <cfRule type="cellIs" dxfId="0" priority="16" operator="notEqual">
      <formula>"ARS"</formula>
    </cfRule>
  </conditionalFormatting>
  <conditionalFormatting sqref="F41">
    <cfRule type="cellIs" dxfId="0" priority="17" operator="notEqual">
      <formula>"ARS"</formula>
    </cfRule>
  </conditionalFormatting>
  <conditionalFormatting sqref="F42">
    <cfRule type="cellIs" dxfId="0" priority="18" operator="notEqual">
      <formula>"ARS"</formula>
    </cfRule>
  </conditionalFormatting>
  <conditionalFormatting sqref="F43">
    <cfRule type="cellIs" dxfId="0" priority="19" operator="notEqual">
      <formula>"ARS"</formula>
    </cfRule>
  </conditionalFormatting>
  <conditionalFormatting sqref="F44">
    <cfRule type="cellIs" dxfId="0" priority="20" operator="notEqual">
      <formula>"ARS"</formula>
    </cfRule>
  </conditionalFormatting>
  <conditionalFormatting sqref="F45">
    <cfRule type="cellIs" dxfId="0" priority="21" operator="notEqual">
      <formula>"ARS"</formula>
    </cfRule>
  </conditionalFormatting>
  <conditionalFormatting sqref="F46">
    <cfRule type="cellIs" dxfId="0" priority="22" operator="notEqual">
      <formula>"ARS"</formula>
    </cfRule>
  </conditionalFormatting>
  <pageMargins left="0.7" right="0.7" top="0.75" bottom="0.75" header="0.3" footer="0.3"/>
  <pageSetup paperSize="9" orientation="portrait" r:id="rId1"/>
  <drawing r:id="rId4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2023-01-02T12:23:08Z</dcterms:created>
  <dc:creator>Natalia Samaniego</dc:creator>
  <cp:lastModifiedBy>it11</cp:lastModifiedBy>
  <dcterms:modified xsi:type="dcterms:W3CDTF">2025-11-04T20:40:35Z</dcterms:modified>
</cp:coreProperties>
</file>